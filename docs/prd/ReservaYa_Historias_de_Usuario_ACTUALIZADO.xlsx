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uent\Desktop\Integrador\"/>
    </mc:Choice>
  </mc:AlternateContent>
  <xr:revisionPtr revIDLastSave="0" documentId="11_770967C04BD53F4E89BD7EB0791EC53A3E4CA2B4" xr6:coauthVersionLast="47" xr6:coauthVersionMax="47" xr10:uidLastSave="{00000000-0000-0000-0000-000000000000}"/>
  <bookViews>
    <workbookView xWindow="-120" yWindow="-120" windowWidth="29040" windowHeight="15840" firstSheet="2" activeTab="14" xr2:uid="{00000000-000D-0000-FFFF-FFFF00000000}"/>
  </bookViews>
  <sheets>
    <sheet name="Sprints" sheetId="1" r:id="rId1"/>
    <sheet name="Roles" sheetId="2" r:id="rId2"/>
    <sheet name="Product_Backlog" sheetId="3" r:id="rId3"/>
    <sheet name="Release_Plan" sheetId="4" r:id="rId4"/>
    <sheet name="HU01" sheetId="5" r:id="rId5"/>
    <sheet name="Parametros" sheetId="6" r:id="rId6"/>
    <sheet name="HU02" sheetId="7" r:id="rId7"/>
    <sheet name="HU03" sheetId="8" r:id="rId8"/>
    <sheet name="HU04" sheetId="9" r:id="rId9"/>
    <sheet name="HU05" sheetId="10" r:id="rId10"/>
    <sheet name="HU06" sheetId="11" r:id="rId11"/>
    <sheet name="HU07" sheetId="12" r:id="rId12"/>
    <sheet name="HU08" sheetId="13" r:id="rId13"/>
    <sheet name="HU09" sheetId="14" r:id="rId14"/>
    <sheet name="HU10" sheetId="15" r:id="rId15"/>
  </sheets>
  <definedNames>
    <definedName name="_xlnm.Print_Area" localSheetId="2">Product_Backlog!$A$7:$E$8</definedName>
    <definedName name="_xlnm.Print_Area" localSheetId="3">Release_Plan!$A$7:$E$8</definedName>
    <definedName name="Estados_HU">Parametros!$B$21:$B$24</definedName>
    <definedName name="Feriados">Parametros!$B$2:$B$18</definedName>
    <definedName name="Tabla_Sprint">Sprints!$A$6:$D$10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5" l="1"/>
  <c r="B61" i="15"/>
  <c r="D42" i="15"/>
  <c r="B41" i="15" s="1"/>
  <c r="D33" i="15"/>
  <c r="B32" i="15"/>
  <c r="B23" i="15"/>
  <c r="B67" i="14"/>
  <c r="B61" i="14"/>
  <c r="D33" i="14"/>
  <c r="B32" i="14" s="1"/>
  <c r="B23" i="14"/>
  <c r="B67" i="13"/>
  <c r="B61" i="13"/>
  <c r="D42" i="13"/>
  <c r="D51" i="13" s="1"/>
  <c r="B50" i="13" s="1"/>
  <c r="B41" i="13"/>
  <c r="D33" i="13"/>
  <c r="B32" i="13"/>
  <c r="B23" i="13"/>
  <c r="B67" i="12"/>
  <c r="B61" i="12"/>
  <c r="D42" i="12"/>
  <c r="B41" i="12" s="1"/>
  <c r="D33" i="12"/>
  <c r="B32" i="12"/>
  <c r="B23" i="12"/>
  <c r="B67" i="11"/>
  <c r="B61" i="11"/>
  <c r="D33" i="11"/>
  <c r="D42" i="11" s="1"/>
  <c r="B32" i="11"/>
  <c r="B23" i="11"/>
  <c r="B67" i="10"/>
  <c r="B61" i="10"/>
  <c r="D33" i="10"/>
  <c r="B32" i="10" s="1"/>
  <c r="B23" i="10"/>
  <c r="B67" i="9"/>
  <c r="B61" i="9"/>
  <c r="D42" i="9"/>
  <c r="D51" i="9" s="1"/>
  <c r="B50" i="9" s="1"/>
  <c r="B41" i="9"/>
  <c r="D33" i="9"/>
  <c r="B32" i="9"/>
  <c r="B23" i="9"/>
  <c r="B67" i="8"/>
  <c r="B61" i="8"/>
  <c r="D42" i="8"/>
  <c r="B41" i="8" s="1"/>
  <c r="D33" i="8"/>
  <c r="B32" i="8"/>
  <c r="B23" i="8"/>
  <c r="B67" i="7"/>
  <c r="B61" i="7"/>
  <c r="D33" i="7"/>
  <c r="D42" i="7" s="1"/>
  <c r="B32" i="7"/>
  <c r="B23" i="7"/>
  <c r="B67" i="5"/>
  <c r="B61" i="5"/>
  <c r="D33" i="5"/>
  <c r="B32" i="5" s="1"/>
  <c r="B23" i="5"/>
  <c r="E15" i="3"/>
  <c r="E14" i="3"/>
  <c r="E13" i="3"/>
  <c r="E12" i="3"/>
  <c r="E11" i="3"/>
  <c r="E10" i="3"/>
  <c r="E9" i="3"/>
  <c r="E8" i="3"/>
  <c r="E7" i="3"/>
  <c r="E6" i="3"/>
  <c r="I15" i="4"/>
  <c r="H15" i="4"/>
  <c r="D15" i="4"/>
  <c r="C15" i="4"/>
  <c r="I14" i="4"/>
  <c r="H14" i="4"/>
  <c r="D14" i="4"/>
  <c r="C14" i="4"/>
  <c r="I13" i="4"/>
  <c r="H13" i="4"/>
  <c r="D13" i="4"/>
  <c r="C13" i="4"/>
  <c r="I12" i="4"/>
  <c r="H12" i="4"/>
  <c r="D12" i="4"/>
  <c r="C12" i="4"/>
  <c r="I11" i="4"/>
  <c r="H11" i="4"/>
  <c r="D11" i="4"/>
  <c r="C11" i="4"/>
  <c r="I10" i="4"/>
  <c r="H10" i="4"/>
  <c r="D10" i="4"/>
  <c r="C10" i="4"/>
  <c r="I9" i="4"/>
  <c r="H9" i="4"/>
  <c r="D9" i="4"/>
  <c r="C9" i="4"/>
  <c r="I8" i="4"/>
  <c r="H8" i="4"/>
  <c r="D8" i="4"/>
  <c r="C8" i="4"/>
  <c r="I7" i="4"/>
  <c r="H7" i="4"/>
  <c r="D7" i="4"/>
  <c r="C7" i="4"/>
  <c r="I6" i="4"/>
  <c r="H6" i="4"/>
  <c r="D6" i="4"/>
  <c r="C6" i="4"/>
  <c r="C15" i="3"/>
  <c r="C14" i="3"/>
  <c r="B15" i="3"/>
  <c r="B14" i="3"/>
  <c r="B13" i="3"/>
  <c r="B12" i="3"/>
  <c r="B11" i="3"/>
  <c r="B10" i="3"/>
  <c r="B9" i="3"/>
  <c r="B8" i="3"/>
  <c r="B7" i="3"/>
  <c r="B6" i="3"/>
  <c r="G12" i="4"/>
  <c r="B12" i="4"/>
  <c r="G8" i="4"/>
  <c r="B8" i="4"/>
  <c r="G13" i="4"/>
  <c r="B13" i="4"/>
  <c r="G9" i="4"/>
  <c r="B9" i="4"/>
  <c r="C6" i="3"/>
  <c r="B15" i="4"/>
  <c r="G11" i="4"/>
  <c r="G7" i="4"/>
  <c r="B7" i="4"/>
  <c r="D15" i="3"/>
  <c r="D14" i="3"/>
  <c r="D13" i="3"/>
  <c r="D12" i="3"/>
  <c r="D11" i="3"/>
  <c r="D10" i="3"/>
  <c r="D9" i="3"/>
  <c r="D8" i="3"/>
  <c r="D7" i="3"/>
  <c r="D6" i="3"/>
  <c r="G14" i="4"/>
  <c r="B14" i="4"/>
  <c r="G10" i="4"/>
  <c r="B10" i="4"/>
  <c r="G6" i="4"/>
  <c r="B6" i="4"/>
  <c r="C13" i="3"/>
  <c r="C12" i="3"/>
  <c r="C11" i="3"/>
  <c r="C10" i="3"/>
  <c r="C9" i="3"/>
  <c r="C8" i="3"/>
  <c r="C7" i="3"/>
  <c r="G15" i="4"/>
  <c r="B11" i="4"/>
  <c r="E11" i="4" l="1"/>
  <c r="E6" i="4"/>
  <c r="E10" i="4"/>
  <c r="E14" i="4"/>
  <c r="E7" i="4"/>
  <c r="E15" i="4"/>
  <c r="E9" i="4"/>
  <c r="E13" i="4"/>
  <c r="E8" i="4"/>
  <c r="E12" i="4"/>
  <c r="B41" i="7"/>
  <c r="D51" i="7"/>
  <c r="B50" i="7" s="1"/>
  <c r="B41" i="11"/>
  <c r="D51" i="11"/>
  <c r="B50" i="11" s="1"/>
  <c r="D51" i="15"/>
  <c r="B50" i="15" s="1"/>
  <c r="D42" i="5"/>
  <c r="D51" i="8"/>
  <c r="B50" i="8" s="1"/>
  <c r="D42" i="10"/>
  <c r="D51" i="12"/>
  <c r="B50" i="12" s="1"/>
  <c r="D42" i="14"/>
  <c r="B41" i="14" l="1"/>
  <c r="D51" i="14"/>
  <c r="B50" i="14" s="1"/>
  <c r="B41" i="5"/>
  <c r="D51" i="5"/>
  <c r="B50" i="5" s="1"/>
  <c r="B41" i="10"/>
  <c r="D51" i="10"/>
  <c r="B50" i="10" s="1"/>
</calcChain>
</file>

<file path=xl/sharedStrings.xml><?xml version="1.0" encoding="utf-8"?>
<sst xmlns="http://schemas.openxmlformats.org/spreadsheetml/2006/main" count="765" uniqueCount="285">
  <si>
    <t>PLAN DE ENTREGAS</t>
  </si>
  <si>
    <t>HISTORIAS DE USUARIO</t>
  </si>
  <si>
    <t>ID HU</t>
  </si>
  <si>
    <t>HU</t>
  </si>
  <si>
    <t>Link</t>
  </si>
  <si>
    <t>ID BackLog</t>
  </si>
  <si>
    <t>Elemento del BackLog</t>
  </si>
  <si>
    <t>Sprint</t>
  </si>
  <si>
    <t>Prioridad</t>
  </si>
  <si>
    <t>Inicio de Sprint</t>
  </si>
  <si>
    <t>Fin de Sprint</t>
  </si>
  <si>
    <t>% Avance</t>
  </si>
  <si>
    <t>Estado del Tablero</t>
  </si>
  <si>
    <t>HU01</t>
  </si>
  <si>
    <t>No Iniciado</t>
  </si>
  <si>
    <t>HU02</t>
  </si>
  <si>
    <t>HU03</t>
  </si>
  <si>
    <t>HU04</t>
  </si>
  <si>
    <t>HU05</t>
  </si>
  <si>
    <t>HU06</t>
  </si>
  <si>
    <t>HU07</t>
  </si>
  <si>
    <t>HU08</t>
  </si>
  <si>
    <t>HU09</t>
  </si>
  <si>
    <t>HU10</t>
  </si>
  <si>
    <t>SPRINTS</t>
  </si>
  <si>
    <t>Nro. días</t>
  </si>
  <si>
    <t>Inicio</t>
  </si>
  <si>
    <t>Fin</t>
  </si>
  <si>
    <t>ROLES</t>
  </si>
  <si>
    <t>ID</t>
  </si>
  <si>
    <t>Rol</t>
  </si>
  <si>
    <t>Descripción</t>
  </si>
  <si>
    <t>Product Owner</t>
  </si>
  <si>
    <t>Prioriza el Product Backlog y valida el incremento del producto.</t>
  </si>
  <si>
    <t>Scrum Master</t>
  </si>
  <si>
    <t>Facilita las ceremonias Scrum y remueve impedimentos del equipo.</t>
  </si>
  <si>
    <t>Equipo de Desarrollo</t>
  </si>
  <si>
    <t>Construye el incremento del producto y desarrolla las funcionalidades planificadas.</t>
  </si>
  <si>
    <t>Analista de pruebas</t>
  </si>
  <si>
    <t>Define y ejecuta las pruebas para verificar las funcionalidades desarrolladas.</t>
  </si>
  <si>
    <t>Analista de configuración</t>
  </si>
  <si>
    <t>Gestiona versiones, ramas y builds del proyecto.</t>
  </si>
  <si>
    <t>BACKLOG DEL PRODUCTO</t>
  </si>
  <si>
    <t>Historia de Usuario</t>
  </si>
  <si>
    <t>Nro. de Escenarios</t>
  </si>
  <si>
    <t>HISTORIA DE USUARIO</t>
  </si>
  <si>
    <t>Enunciado</t>
  </si>
  <si>
    <t>Registro de espacios</t>
  </si>
  <si>
    <t>Como un(una) …</t>
  </si>
  <si>
    <t>Administrador de espacios</t>
  </si>
  <si>
    <t>Necesito …</t>
  </si>
  <si>
    <t>registrar un nuevo espacio con su capacidad, ubicación y horario disponible</t>
  </si>
  <si>
    <t>Para …</t>
  </si>
  <si>
    <t>para que los usuarios institucionales puedan reservarlo</t>
  </si>
  <si>
    <t>Referencias</t>
  </si>
  <si>
    <t>Escenarios</t>
  </si>
  <si>
    <t>Nro.</t>
  </si>
  <si>
    <t>Registro exitoso de un espacio</t>
  </si>
  <si>
    <t>DADO QUE …</t>
  </si>
  <si>
    <t>Existe un administrador autenticado</t>
  </si>
  <si>
    <t>Y/O …</t>
  </si>
  <si>
    <t>CUANDO …</t>
  </si>
  <si>
    <t>Se ingresan nombre, capacidad, ubicación y horario disponible válidos</t>
  </si>
  <si>
    <t>ENTONCES …</t>
  </si>
  <si>
    <t>El sistema registra el espacio y lo deja disponible para reservas</t>
  </si>
  <si>
    <t>Datos obligatorios incompletos</t>
  </si>
  <si>
    <t>Falta uno o más datos obligatorios del espacio</t>
  </si>
  <si>
    <t>El sistema solicita completar los datos y no registra el espacio</t>
  </si>
  <si>
    <t>Capacidad no válida</t>
  </si>
  <si>
    <t>Se ingresa una capacidad inválida o menor que uno</t>
  </si>
  <si>
    <t>El sistema muestra un mensaje de validación y no registra el espacio</t>
  </si>
  <si>
    <t>Horario no válido</t>
  </si>
  <si>
    <t>Se ingresa un horario disponible inconsistente</t>
  </si>
  <si>
    <t>El sistema informa el error y solicita corregir el horario</t>
  </si>
  <si>
    <t>Criterios de Aceptación</t>
  </si>
  <si>
    <t>Registro correcto del espacio</t>
  </si>
  <si>
    <t>Criterio de Aceptación</t>
  </si>
  <si>
    <t>El sistema registra el espacio con los datos proporcionados y lo deja disponible para reservas.</t>
  </si>
  <si>
    <t>Validación de datos</t>
  </si>
  <si>
    <t>El sistema impide registrar el espacio cuando los datos obligatorios o valores de capacidad y horario no son válidos.</t>
  </si>
  <si>
    <t>Feriados</t>
  </si>
  <si>
    <t>Estados de HU</t>
  </si>
  <si>
    <t>En Proceso</t>
  </si>
  <si>
    <t>Validado</t>
  </si>
  <si>
    <t>Suspendido</t>
  </si>
  <si>
    <t>Modificación de espacio</t>
  </si>
  <si>
    <t>editar y/o dar de baja un espacio existente</t>
  </si>
  <si>
    <t>para que los usuarios no puedan reservar un espacio que ya no esté disponible</t>
  </si>
  <si>
    <t>Edición de un espacio</t>
  </si>
  <si>
    <t>Existe un espacio activo registrado</t>
  </si>
  <si>
    <t>El administrador modifica datos permitidos del espacio</t>
  </si>
  <si>
    <t>El sistema guarda los cambios correctamente</t>
  </si>
  <si>
    <t>Dar de baja un espacio</t>
  </si>
  <si>
    <t>El administrador selecciona la opción de dar de baja</t>
  </si>
  <si>
    <t>El sistema desactiva el espacio y evita nuevas reservas</t>
  </si>
  <si>
    <t>Espacio inexistente</t>
  </si>
  <si>
    <t>El administrador intenta gestionar un espacio no registrado</t>
  </si>
  <si>
    <t>Se solicita la edición o baja del espacio</t>
  </si>
  <si>
    <t>El sistema informa que el espacio no existe</t>
  </si>
  <si>
    <t>Modificación inválida</t>
  </si>
  <si>
    <t>Existe un espacio registrado</t>
  </si>
  <si>
    <t>Se ingresan datos no válidos</t>
  </si>
  <si>
    <t>El sistema muestra los errores y no aplica los cambios</t>
  </si>
  <si>
    <t>Actualización correcta</t>
  </si>
  <si>
    <t>Los cambios válidos quedan almacenados y se muestran al consultar el espacio.</t>
  </si>
  <si>
    <t>Baja del espacio</t>
  </si>
  <si>
    <t>Un espacio dado de baja no aparece como disponible para nuevas reservas.</t>
  </si>
  <si>
    <t>Registro de nuevo usuario</t>
  </si>
  <si>
    <t>Usuario no registrado</t>
  </si>
  <si>
    <t>registrarme como usuario institucional</t>
  </si>
  <si>
    <t>para poder consultar y reservar espacios</t>
  </si>
  <si>
    <t>Registro exitoso</t>
  </si>
  <si>
    <t>El usuario no registrado accede al formulario de registro</t>
  </si>
  <si>
    <t>Ingresa sus datos válidos</t>
  </si>
  <si>
    <t>El sistema crea la cuenta como usuario institucional</t>
  </si>
  <si>
    <t>El usuario está en el formulario de registro</t>
  </si>
  <si>
    <t>Omite uno o más datos obligatorios</t>
  </si>
  <si>
    <t>El sistema solicita completar la información</t>
  </si>
  <si>
    <t>Credenciales ya registradas</t>
  </si>
  <si>
    <t>Existe una cuenta con las mismas credenciales identificativas</t>
  </si>
  <si>
    <t>El usuario intenta registrarse nuevamente</t>
  </si>
  <si>
    <t>El sistema informa que los datos ya están registrados y no crea otra cuenta</t>
  </si>
  <si>
    <t>Datos inválidos</t>
  </si>
  <si>
    <t>El usuario ingresa información con formato inválido</t>
  </si>
  <si>
    <t>Envía el formulario</t>
  </si>
  <si>
    <t>El sistema muestra los campos que deben corregirse</t>
  </si>
  <si>
    <t>Creación de cuenta</t>
  </si>
  <si>
    <t>El sistema crea una cuenta válida con rol de usuario institucional.</t>
  </si>
  <si>
    <t>Protección de credenciales</t>
  </si>
  <si>
    <t>La contraseña se almacena de forma segura mediante hash y nunca en texto plano.</t>
  </si>
  <si>
    <t>Consulta de disponibilidad</t>
  </si>
  <si>
    <t>Usuario institucional</t>
  </si>
  <si>
    <t>consultar la disponibilidad de un espacio filtrando por fecha</t>
  </si>
  <si>
    <t>para elegir un horario libre para mi reserva</t>
  </si>
  <si>
    <t>Consulta con disponibilidad</t>
  </si>
  <si>
    <t>El usuario institucional está autenticado</t>
  </si>
  <si>
    <t>Selecciona una fecha y consulta un espacio</t>
  </si>
  <si>
    <t>El sistema muestra los horarios disponibles</t>
  </si>
  <si>
    <t>Consulta sin disponibilidad</t>
  </si>
  <si>
    <t>Existen reservas activas para todos los horarios consultados</t>
  </si>
  <si>
    <t>El usuario realiza la consulta</t>
  </si>
  <si>
    <t>El sistema indica que no existen horarios disponibles</t>
  </si>
  <si>
    <t>Fecha no válida</t>
  </si>
  <si>
    <t>El usuario está en la consulta de disponibilidad</t>
  </si>
  <si>
    <t>Ingresa una fecha no válida</t>
  </si>
  <si>
    <t>El sistema solicita una fecha válida</t>
  </si>
  <si>
    <t>Consulta de espacio inactivo</t>
  </si>
  <si>
    <t>Existe un espacio dado de baja</t>
  </si>
  <si>
    <t>El usuario consulta disponibilidad</t>
  </si>
  <si>
    <t>El sistema no permite seleccionarlo para nuevas reservas</t>
  </si>
  <si>
    <t>Resultado de disponibilidad</t>
  </si>
  <si>
    <t>El sistema muestra correctamente los horarios libres del espacio para la fecha seleccionada.</t>
  </si>
  <si>
    <t>Tiempo de respuesta</t>
  </si>
  <si>
    <t>La consulta de disponibilidad responde en menos de 2 segundos bajo carga normal.</t>
  </si>
  <si>
    <t>Creación de reserva</t>
  </si>
  <si>
    <t>crear una reserva seleccionando un espacio, fecha y horario disponible</t>
  </si>
  <si>
    <t>para asegurar el uso del espacio sin conflictos con otras reservas</t>
  </si>
  <si>
    <t>Creación exitosa</t>
  </si>
  <si>
    <t>El usuario ha consultado un horario disponible</t>
  </si>
  <si>
    <t>Selecciona espacio, fecha y horario y confirma la reserva</t>
  </si>
  <si>
    <t>El sistema registra la reserva correctamente</t>
  </si>
  <si>
    <t>Horario ya reservado</t>
  </si>
  <si>
    <t>Existe una reserva activa para el mismo espacio y horario</t>
  </si>
  <si>
    <t>El usuario intenta confirmar la reserva</t>
  </si>
  <si>
    <t>El sistema rechaza la operación y evita la doble reserva</t>
  </si>
  <si>
    <t>Datos incompletos</t>
  </si>
  <si>
    <t>El usuario inicia una reserva</t>
  </si>
  <si>
    <t>No selecciona alguno de los datos requeridos</t>
  </si>
  <si>
    <t>Espacio desactivado durante la operación</t>
  </si>
  <si>
    <t>El espacio deja de estar disponible antes de confirmar</t>
  </si>
  <si>
    <t>El usuario intenta registrar la reserva</t>
  </si>
  <si>
    <t>El sistema valida nuevamente y rechaza la reserva si el espacio ya no está disponible</t>
  </si>
  <si>
    <t>Reserva sin conflictos</t>
  </si>
  <si>
    <t>El sistema solo crea la reserva cuando el espacio y horario están disponibles.</t>
  </si>
  <si>
    <t>Prevención de doble reserva</t>
  </si>
  <si>
    <t>La validación de disponibilidad se realiza de forma atómica para evitar reservas simultáneas sobre el mismo espacio y horario.</t>
  </si>
  <si>
    <t>Cancelación de reservas</t>
  </si>
  <si>
    <t>cancelar una reserva propia</t>
  </si>
  <si>
    <t>para liberar el espacio y permitir su disponibilidad nuevamente</t>
  </si>
  <si>
    <t>Cancelación exitosa</t>
  </si>
  <si>
    <t>El usuario tiene una reserva propia activa</t>
  </si>
  <si>
    <t>Selecciona la reserva y confirma la cancelación</t>
  </si>
  <si>
    <t>El sistema cancela la reserva</t>
  </si>
  <si>
    <t>Reserva inexistente</t>
  </si>
  <si>
    <t>El usuario intenta cancelar una reserva que no existe</t>
  </si>
  <si>
    <t>Solicita la cancelación</t>
  </si>
  <si>
    <t>El sistema informa que la reserva no existe</t>
  </si>
  <si>
    <t>Reserva de otro usuario</t>
  </si>
  <si>
    <t>Existe una reserva perteneciente a otro usuario</t>
  </si>
  <si>
    <t>El usuario intenta cancelarla</t>
  </si>
  <si>
    <t>El sistema rechaza la operación por falta de autorización</t>
  </si>
  <si>
    <t>Cancelación ya realizada</t>
  </si>
  <si>
    <t>La reserva ya se encuentra cancelada</t>
  </si>
  <si>
    <t>El usuario intenta cancelarla nuevamente</t>
  </si>
  <si>
    <t>El sistema informa que la reserva ya no está activa</t>
  </si>
  <si>
    <t>Cancelación registrada</t>
  </si>
  <si>
    <t>La reserva propia queda en estado cancelado y deja de ocupar el horario.</t>
  </si>
  <si>
    <t>Control de acceso</t>
  </si>
  <si>
    <t>Un usuario institucional no puede cancelar reservas pertenecientes a otro usuario.</t>
  </si>
  <si>
    <t>Modificación de reservas</t>
  </si>
  <si>
    <t>modificar el horario o espacio de una reserva propia</t>
  </si>
  <si>
    <t>para ajustar mi reserva sin generar conflictos con otras reservas</t>
  </si>
  <si>
    <t>Modificación exitosa</t>
  </si>
  <si>
    <t>Selecciona un nuevo espacio o horario disponible y confirma</t>
  </si>
  <si>
    <t>El sistema actualiza la reserva</t>
  </si>
  <si>
    <t>Nuevo horario ocupado</t>
  </si>
  <si>
    <t>Existe una reserva activa en el nuevo horario</t>
  </si>
  <si>
    <t>El usuario intenta modificar su reserva</t>
  </si>
  <si>
    <t>El sistema rechaza el cambio y mantiene la reserva original</t>
  </si>
  <si>
    <t>La reserva pertenece a otro usuario</t>
  </si>
  <si>
    <t>El usuario intenta modificarla</t>
  </si>
  <si>
    <t>El sistema rechaza la operación</t>
  </si>
  <si>
    <t>Datos de modificación inválidos</t>
  </si>
  <si>
    <t>El usuario inicia la modificación</t>
  </si>
  <si>
    <t>Ingresa un espacio, fecha u horario no válido</t>
  </si>
  <si>
    <t>El sistema muestra el error y no modifica la reserva</t>
  </si>
  <si>
    <t>Modificación sin conflictos</t>
  </si>
  <si>
    <t>El sistema actualiza la reserva solo cuando el nuevo espacio y horario están disponibles.</t>
  </si>
  <si>
    <t>Conservación ante rechazo</t>
  </si>
  <si>
    <t>Si la nueva disponibilidad no es válida, la reserva original permanece sin cambios.</t>
  </si>
  <si>
    <t>Dashboard de ocupación</t>
  </si>
  <si>
    <t>consultar la ocupación de los espacios por espacio, horario y día</t>
  </si>
  <si>
    <t>para identificar espacios subutilizados y horarios de alta demanda</t>
  </si>
  <si>
    <t>Consulta de ocupación</t>
  </si>
  <si>
    <t>Existen reservas registradas</t>
  </si>
  <si>
    <t>El administrador accede al dashboard</t>
  </si>
  <si>
    <t>El sistema muestra la ocupación agrupada por espacio, horario y día</t>
  </si>
  <si>
    <t>Periodo sin reservas</t>
  </si>
  <si>
    <t>No existen reservas para el periodo consultado</t>
  </si>
  <si>
    <t>El administrador consulta el dashboard</t>
  </si>
  <si>
    <t>El sistema muestra el periodo sin ocupación registrada</t>
  </si>
  <si>
    <t>Filtro por espacio</t>
  </si>
  <si>
    <t>Existen varios espacios registrados</t>
  </si>
  <si>
    <t>El administrador selecciona un espacio</t>
  </si>
  <si>
    <t>El sistema muestra la ocupación correspondiente al espacio seleccionado</t>
  </si>
  <si>
    <t>Consulta de datos actualizados</t>
  </si>
  <si>
    <t>Existen cambios recientes en las reservas</t>
  </si>
  <si>
    <t>El sistema presenta la información de ocupación actualizada</t>
  </si>
  <si>
    <t>Visualización de ocupación</t>
  </si>
  <si>
    <t>El dashboard permite consultar la ocupación por espacio, horario y día.</t>
  </si>
  <si>
    <t>Información consistente</t>
  </si>
  <si>
    <t>Los datos mostrados en el dashboard corresponden a las reservas registradas en el sistema.</t>
  </si>
  <si>
    <t>Reportes</t>
  </si>
  <si>
    <t>generar reportes de reservas, cancelaciones y tasa de ocupación filtrados por periodo</t>
  </si>
  <si>
    <t>para apoyar la toma de decisiones sobre el uso de los espacios</t>
  </si>
  <si>
    <t>Generación de reporte</t>
  </si>
  <si>
    <t>Existen datos de reservas y cancelaciones</t>
  </si>
  <si>
    <t>El administrador selecciona un periodo válido</t>
  </si>
  <si>
    <t>El sistema genera el reporte solicitado</t>
  </si>
  <si>
    <t>Periodo sin datos</t>
  </si>
  <si>
    <t>No existen registros en el periodo seleccionado</t>
  </si>
  <si>
    <t>El administrador genera el reporte</t>
  </si>
  <si>
    <t>El sistema informa que no existen datos para el periodo</t>
  </si>
  <si>
    <t>Filtro de periodo inválido</t>
  </si>
  <si>
    <t>El administrador ingresa un rango de fechas inválido</t>
  </si>
  <si>
    <t>Solicita la generación del reporte</t>
  </si>
  <si>
    <t>El sistema solicita corregir el periodo</t>
  </si>
  <si>
    <t>Reporte con indicadores</t>
  </si>
  <si>
    <t>Existen reservas en el periodo consultado</t>
  </si>
  <si>
    <t>El sistema incluye reservas, cancelaciones y tasa de ocupación</t>
  </si>
  <si>
    <t>Contenido del reporte</t>
  </si>
  <si>
    <t>El reporte incluye reservas, cancelaciones y tasa de ocupación del periodo seleccionado.</t>
  </si>
  <si>
    <t>Filtrado por periodo</t>
  </si>
  <si>
    <t>El sistema genera el reporte considerando únicamente la información comprendida en el periodo indicado.</t>
  </si>
  <si>
    <t>Notificaciones</t>
  </si>
  <si>
    <t>recibir la confirmación de mi reserva y un recordatorio antes del horario reservado</t>
  </si>
  <si>
    <t>para estar informado sobre el estado y proximidad de mi reserva</t>
  </si>
  <si>
    <t>Confirmación de reserva</t>
  </si>
  <si>
    <t>El usuario crea una reserva correctamente</t>
  </si>
  <si>
    <t>La reserva es confirmada por el sistema</t>
  </si>
  <si>
    <t>El usuario recibe una notificación de confirmación</t>
  </si>
  <si>
    <t>Recordatorio</t>
  </si>
  <si>
    <t>Existe una reserva próxima a su horario</t>
  </si>
  <si>
    <t>Se alcanza el momento configurado para el recordatorio</t>
  </si>
  <si>
    <t>El usuario recibe una notificación de recordatorio</t>
  </si>
  <si>
    <t>Reserva rechazada</t>
  </si>
  <si>
    <t>La reserva no puede ser creada por falta de disponibilidad</t>
  </si>
  <si>
    <t>El sistema no envía una confirmación de reserva creada</t>
  </si>
  <si>
    <t>Notificación asociada a la reserva</t>
  </si>
  <si>
    <t>El usuario tiene una reserva registrada</t>
  </si>
  <si>
    <t>Se genera una notificación</t>
  </si>
  <si>
    <t>La notificación corresponde a la reserva del usuario</t>
  </si>
  <si>
    <t>Confirmación</t>
  </si>
  <si>
    <t>Cada reserva creada correctamente genera una notificación de confirmación al usuario.</t>
  </si>
  <si>
    <t>El sistema envía un recordatorio antes del horario reservado.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</si>
</sst>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ddd\ dd/mm/yyyy"/>
    <numFmt numFmtId="166" formatCode="ddd\ dd/mmm/yyyy"/>
    <numFmt numFmtId="167" formatCode="ddd\ d/mm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</fills>
  <borders count="4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xfId="0"/>
    <xf numFmtId="0" fontId="1" fillId="2" borderId="0" xfId="0" applyFont="1" applyFill="1"/>
    <xf numFmtId="0" fontId="4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164" fontId="6" fillId="3" borderId="1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/>
    </xf>
    <xf numFmtId="164" fontId="1" fillId="2" borderId="1" xfId="0" applyNumberFormat="1" applyFont="1" applyFill="1" applyBorder="1" applyAlignment="1">
      <alignment horizontal="center" vertical="top"/>
    </xf>
    <xf numFmtId="0" fontId="7" fillId="2" borderId="1" xfId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16" fontId="1" fillId="2" borderId="0" xfId="0" applyNumberFormat="1" applyFont="1" applyFill="1"/>
    <xf numFmtId="0" fontId="8" fillId="3" borderId="0" xfId="0" applyFont="1" applyFill="1" applyAlignment="1">
      <alignment vertical="center"/>
    </xf>
    <xf numFmtId="165" fontId="1" fillId="4" borderId="0" xfId="0" applyNumberFormat="1" applyFont="1" applyFill="1" applyAlignment="1">
      <alignment horizontal="center" vertical="center"/>
    </xf>
    <xf numFmtId="165" fontId="1" fillId="5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4" fontId="7" fillId="2" borderId="1" xfId="1" applyNumberFormat="1" applyFill="1" applyBorder="1" applyAlignment="1">
      <alignment horizontal="center" vertical="top"/>
    </xf>
    <xf numFmtId="164" fontId="1" fillId="5" borderId="1" xfId="0" applyNumberFormat="1" applyFont="1" applyFill="1" applyBorder="1" applyAlignment="1">
      <alignment horizontal="center" vertical="top"/>
    </xf>
    <xf numFmtId="166" fontId="1" fillId="2" borderId="1" xfId="0" applyNumberFormat="1" applyFont="1" applyFill="1" applyBorder="1" applyAlignment="1">
      <alignment horizontal="center" vertical="top"/>
    </xf>
    <xf numFmtId="10" fontId="1" fillId="5" borderId="1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/>
    </xf>
    <xf numFmtId="167" fontId="1" fillId="2" borderId="0" xfId="0" applyNumberFormat="1" applyFont="1" applyFill="1"/>
    <xf numFmtId="1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3" borderId="0" xfId="0" applyFont="1" applyFill="1" applyAlignment="1">
      <alignment horizontal="right" vertical="center" indent="1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right" vertical="center" indent="1"/>
    </xf>
    <xf numFmtId="0" fontId="5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3" xfId="0" applyBorder="1"/>
    <xf numFmtId="0" fontId="5" fillId="3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20">
    <dxf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A9D08E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D10" sqref="D10"/>
    </sheetView>
  </sheetViews>
  <sheetFormatPr baseColWidth="10" defaultColWidth="10.85546875" defaultRowHeight="12.75" x14ac:dyDescent="0.2"/>
  <cols>
    <col min="1" max="2" width="15.7109375" style="1" customWidth="1"/>
    <col min="3" max="4" width="20.7109375" style="1" customWidth="1"/>
    <col min="5" max="5" width="12.7109375" style="1" bestFit="1" customWidth="1"/>
    <col min="6" max="6" width="10.85546875" style="1" customWidth="1"/>
    <col min="7" max="16384" width="10.85546875" style="1"/>
  </cols>
  <sheetData>
    <row r="1" spans="1:5" ht="4.9000000000000004" customHeight="1" x14ac:dyDescent="0.2">
      <c r="A1" s="42"/>
      <c r="B1" s="39"/>
      <c r="C1" s="39"/>
      <c r="D1" s="39"/>
    </row>
    <row r="2" spans="1:5" ht="30" customHeight="1" x14ac:dyDescent="0.2">
      <c r="A2" s="43" t="s">
        <v>24</v>
      </c>
      <c r="B2" s="39"/>
      <c r="C2" s="44"/>
      <c r="D2" s="39"/>
    </row>
    <row r="3" spans="1:5" ht="4.9000000000000004" customHeight="1" x14ac:dyDescent="0.2">
      <c r="A3" s="41"/>
      <c r="B3" s="39"/>
      <c r="C3" s="39"/>
      <c r="D3" s="39"/>
    </row>
    <row r="4" spans="1:5" x14ac:dyDescent="0.2">
      <c r="A4" s="38"/>
      <c r="B4" s="39"/>
      <c r="C4" s="39"/>
      <c r="D4" s="39"/>
    </row>
    <row r="5" spans="1:5" ht="30" customHeight="1" x14ac:dyDescent="0.2">
      <c r="A5" s="3" t="s">
        <v>7</v>
      </c>
      <c r="B5" s="3" t="s">
        <v>25</v>
      </c>
      <c r="C5" s="3" t="s">
        <v>26</v>
      </c>
      <c r="D5" s="3" t="s">
        <v>27</v>
      </c>
    </row>
    <row r="6" spans="1:5" ht="15" customHeight="1" x14ac:dyDescent="0.2">
      <c r="A6" s="28">
        <v>1</v>
      </c>
      <c r="B6" s="28">
        <v>22</v>
      </c>
      <c r="C6" s="36">
        <v>46252</v>
      </c>
      <c r="D6" s="36">
        <v>46273</v>
      </c>
      <c r="E6" s="35"/>
    </row>
    <row r="7" spans="1:5" ht="15" customHeight="1" x14ac:dyDescent="0.2">
      <c r="A7" s="28">
        <v>2</v>
      </c>
      <c r="B7" s="28">
        <v>27</v>
      </c>
      <c r="C7" s="36">
        <v>46274</v>
      </c>
      <c r="D7" s="36">
        <v>46301</v>
      </c>
    </row>
    <row r="8" spans="1:5" ht="15" customHeight="1" x14ac:dyDescent="0.2">
      <c r="A8" s="28">
        <v>3</v>
      </c>
      <c r="B8" s="28">
        <v>27</v>
      </c>
      <c r="C8" s="36">
        <v>46302</v>
      </c>
      <c r="D8" s="36">
        <v>46329</v>
      </c>
    </row>
    <row r="9" spans="1:5" ht="15" customHeight="1" x14ac:dyDescent="0.2">
      <c r="A9" s="28">
        <v>4</v>
      </c>
      <c r="B9" s="28">
        <v>27</v>
      </c>
      <c r="C9" s="36">
        <v>46330</v>
      </c>
      <c r="D9" s="36">
        <v>46357</v>
      </c>
    </row>
    <row r="10" spans="1:5" ht="15" customHeight="1" x14ac:dyDescent="0.2">
      <c r="A10" s="28"/>
      <c r="B10" s="28"/>
      <c r="C10" s="29"/>
      <c r="D10" s="29"/>
    </row>
    <row r="11" spans="1:5" ht="15" customHeight="1" x14ac:dyDescent="0.2">
      <c r="C11" s="22"/>
      <c r="D11" s="22"/>
    </row>
    <row r="12" spans="1:5" ht="15" customHeight="1" x14ac:dyDescent="0.2">
      <c r="C12" s="22"/>
      <c r="D12" s="22"/>
    </row>
    <row r="13" spans="1:5" ht="15" customHeight="1" x14ac:dyDescent="0.2">
      <c r="C13" s="22"/>
      <c r="D13" s="22"/>
    </row>
    <row r="14" spans="1:5" x14ac:dyDescent="0.2">
      <c r="C14" s="22"/>
      <c r="D14" s="22"/>
    </row>
  </sheetData>
  <mergeCells count="5">
    <mergeCell ref="A1:D1"/>
    <mergeCell ref="A2:B2"/>
    <mergeCell ref="C2:D2"/>
    <mergeCell ref="A4:D4"/>
    <mergeCell ref="A3:D3"/>
  </mergeCells>
  <conditionalFormatting sqref="A6:D10">
    <cfRule type="expression" dxfId="19" priority="1">
      <formula>ISODD(ROW($A6))=TRUE</formula>
    </cfRule>
    <cfRule type="expression" dxfId="18" priority="2">
      <formula>ISEVEN(ROW($A6))=TRUE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B6" sqref="B6"/>
    </sheetView>
  </sheetViews>
  <sheetFormatPr baseColWidth="10" defaultColWidth="10.85546875" defaultRowHeight="12.75" x14ac:dyDescent="0.2"/>
  <cols>
    <col min="1" max="1" width="10.7109375" style="1" customWidth="1"/>
    <col min="2" max="2" width="30.7109375" style="1" customWidth="1"/>
    <col min="3" max="3" width="60.7109375" style="1" customWidth="1"/>
    <col min="4" max="4" width="10.85546875" style="1" customWidth="1"/>
    <col min="5" max="16384" width="10.85546875" style="1"/>
  </cols>
  <sheetData>
    <row r="1" spans="1:3" ht="4.9000000000000004" customHeight="1" x14ac:dyDescent="0.2">
      <c r="A1" s="42"/>
      <c r="B1" s="39"/>
      <c r="C1" s="39"/>
    </row>
    <row r="2" spans="1:3" ht="30" customHeight="1" x14ac:dyDescent="0.2">
      <c r="A2" s="43" t="s">
        <v>28</v>
      </c>
      <c r="B2" s="39"/>
      <c r="C2" s="39"/>
    </row>
    <row r="3" spans="1:3" ht="4.9000000000000004" customHeight="1" x14ac:dyDescent="0.2">
      <c r="A3" s="41"/>
      <c r="B3" s="39"/>
      <c r="C3" s="39"/>
    </row>
    <row r="4" spans="1:3" x14ac:dyDescent="0.2">
      <c r="A4" s="38"/>
      <c r="B4" s="39"/>
      <c r="C4" s="39"/>
    </row>
    <row r="5" spans="1:3" ht="30" customHeight="1" x14ac:dyDescent="0.2">
      <c r="A5" s="3" t="s">
        <v>29</v>
      </c>
      <c r="B5" s="3" t="s">
        <v>30</v>
      </c>
      <c r="C5" s="3" t="s">
        <v>31</v>
      </c>
    </row>
    <row r="6" spans="1:3" x14ac:dyDescent="0.2">
      <c r="A6" s="5">
        <v>1</v>
      </c>
      <c r="B6" s="7" t="s">
        <v>32</v>
      </c>
      <c r="C6" s="6" t="s">
        <v>33</v>
      </c>
    </row>
    <row r="7" spans="1:3" x14ac:dyDescent="0.2">
      <c r="A7" s="5">
        <v>2</v>
      </c>
      <c r="B7" s="7" t="s">
        <v>34</v>
      </c>
      <c r="C7" s="6" t="s">
        <v>35</v>
      </c>
    </row>
    <row r="8" spans="1:3" ht="25.5" x14ac:dyDescent="0.2">
      <c r="A8" s="5">
        <v>3</v>
      </c>
      <c r="B8" s="7" t="s">
        <v>36</v>
      </c>
      <c r="C8" s="6" t="s">
        <v>37</v>
      </c>
    </row>
    <row r="9" spans="1:3" ht="25.5" x14ac:dyDescent="0.2">
      <c r="A9" s="5">
        <v>4</v>
      </c>
      <c r="B9" s="7" t="s">
        <v>38</v>
      </c>
      <c r="C9" s="6" t="s">
        <v>39</v>
      </c>
    </row>
    <row r="10" spans="1:3" x14ac:dyDescent="0.2">
      <c r="A10" s="5">
        <v>5</v>
      </c>
      <c r="B10" s="7" t="s">
        <v>40</v>
      </c>
      <c r="C10" s="6" t="s">
        <v>41</v>
      </c>
    </row>
    <row r="11" spans="1:3" x14ac:dyDescent="0.2">
      <c r="A11" s="5"/>
      <c r="B11" s="7"/>
      <c r="C11" s="6"/>
    </row>
    <row r="12" spans="1:3" x14ac:dyDescent="0.2">
      <c r="A12" s="5"/>
      <c r="B12" s="7"/>
      <c r="C12" s="6"/>
    </row>
    <row r="13" spans="1:3" x14ac:dyDescent="0.2">
      <c r="A13" s="5"/>
      <c r="B13" s="7"/>
      <c r="C13" s="6"/>
    </row>
    <row r="14" spans="1:3" x14ac:dyDescent="0.2">
      <c r="A14" s="5"/>
      <c r="B14" s="7"/>
      <c r="C14" s="6"/>
    </row>
    <row r="15" spans="1:3" x14ac:dyDescent="0.2">
      <c r="A15" s="5"/>
      <c r="B15" s="7"/>
      <c r="C15" s="6"/>
    </row>
  </sheetData>
  <mergeCells count="4">
    <mergeCell ref="A1:C1"/>
    <mergeCell ref="A4:C4"/>
    <mergeCell ref="A3:C3"/>
    <mergeCell ref="A2:C2"/>
  </mergeCells>
  <conditionalFormatting sqref="A6:C15">
    <cfRule type="expression" dxfId="17" priority="1">
      <formula>ISEVEN(ROW($A6))=TRUE</formula>
    </cfRule>
    <cfRule type="expression" dxfId="16" priority="2">
      <formula>ISODD(ROW($A6))=TRUE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zoomScaleNormal="100" workbookViewId="0">
      <selection activeCell="A6" sqref="A6"/>
    </sheetView>
  </sheetViews>
  <sheetFormatPr baseColWidth="10" defaultColWidth="11.42578125" defaultRowHeight="12.75" x14ac:dyDescent="0.2"/>
  <cols>
    <col min="1" max="1" width="20.7109375" style="1" customWidth="1"/>
    <col min="2" max="2" width="60.7109375" style="1" customWidth="1"/>
    <col min="3" max="5" width="20.7109375" style="1" customWidth="1"/>
    <col min="6" max="6" width="11.42578125" style="1" customWidth="1"/>
    <col min="7" max="16384" width="11.42578125" style="1"/>
  </cols>
  <sheetData>
    <row r="1" spans="1:5" ht="4.9000000000000004" customHeight="1" x14ac:dyDescent="0.2">
      <c r="A1" s="42"/>
      <c r="B1" s="39"/>
      <c r="C1" s="39"/>
      <c r="D1" s="39"/>
      <c r="E1" s="39"/>
    </row>
    <row r="2" spans="1:5" ht="30" customHeight="1" x14ac:dyDescent="0.2">
      <c r="A2" s="43" t="s">
        <v>42</v>
      </c>
      <c r="B2" s="39"/>
      <c r="C2" s="44" t="s">
        <v>1</v>
      </c>
      <c r="D2" s="39"/>
      <c r="E2" s="39"/>
    </row>
    <row r="3" spans="1:5" ht="4.9000000000000004" customHeight="1" x14ac:dyDescent="0.2">
      <c r="A3" s="41"/>
      <c r="B3" s="39"/>
      <c r="C3" s="39"/>
      <c r="D3" s="39"/>
      <c r="E3" s="39"/>
    </row>
    <row r="4" spans="1:5" x14ac:dyDescent="0.2">
      <c r="A4" s="38"/>
      <c r="B4" s="39"/>
      <c r="C4" s="39"/>
      <c r="D4" s="39"/>
      <c r="E4" s="39"/>
    </row>
    <row r="5" spans="1:5" ht="30" customHeight="1" x14ac:dyDescent="0.2">
      <c r="A5" s="3" t="s">
        <v>2</v>
      </c>
      <c r="B5" s="3" t="s">
        <v>43</v>
      </c>
      <c r="C5" s="3" t="s">
        <v>44</v>
      </c>
      <c r="D5" s="3" t="s">
        <v>8</v>
      </c>
      <c r="E5" s="3" t="s">
        <v>4</v>
      </c>
    </row>
    <row r="6" spans="1:5" s="18" customFormat="1" ht="15" customHeight="1" x14ac:dyDescent="0.25">
      <c r="A6" s="21" t="s">
        <v>13</v>
      </c>
      <c r="B6" s="17" t="str">
        <f t="shared" ref="B6:B15" ca="1" si="0">INDIRECT(CONCATENATE("'",TRIM(A6),"'!",CELL("DIRECCION",$C$7)))</f>
        <v>Registro de espacios</v>
      </c>
      <c r="C6" s="19">
        <f t="shared" ref="C6:C15" ca="1" si="1">INDIRECT(CONCATENATE("'",TRIM(A6),"'!",CELL("DIRECCION",$C$9)))</f>
        <v>4</v>
      </c>
      <c r="D6" s="19">
        <f t="shared" ref="D6:D15" ca="1" si="2">INDIRECT(CONCATENATE("'",TRIM(A6),"'!",CELL("DIRECCION",$C$8)))</f>
        <v>1</v>
      </c>
      <c r="E6" s="20" t="str">
        <f t="shared" ref="E6:E15" ca="1" si="3">HYPERLINK(CONCATENATE("#'",TRIM(A6),"'!",CELL("DIRECCION",$A$5)),A6)</f>
        <v>HU01</v>
      </c>
    </row>
    <row r="7" spans="1:5" s="18" customFormat="1" ht="15" customHeight="1" x14ac:dyDescent="0.25">
      <c r="A7" s="21" t="s">
        <v>15</v>
      </c>
      <c r="B7" s="17" t="str">
        <f t="shared" ca="1" si="0"/>
        <v>Modificación de espacio</v>
      </c>
      <c r="C7" s="19">
        <f t="shared" ca="1" si="1"/>
        <v>4</v>
      </c>
      <c r="D7" s="19">
        <f t="shared" ca="1" si="2"/>
        <v>2</v>
      </c>
      <c r="E7" s="20" t="str">
        <f t="shared" ca="1" si="3"/>
        <v>HU02</v>
      </c>
    </row>
    <row r="8" spans="1:5" s="18" customFormat="1" ht="15" customHeight="1" x14ac:dyDescent="0.25">
      <c r="A8" s="21" t="s">
        <v>16</v>
      </c>
      <c r="B8" s="17" t="str">
        <f t="shared" ca="1" si="0"/>
        <v>Registro de nuevo usuario</v>
      </c>
      <c r="C8" s="19">
        <f t="shared" ca="1" si="1"/>
        <v>4</v>
      </c>
      <c r="D8" s="19">
        <f t="shared" ca="1" si="2"/>
        <v>3</v>
      </c>
      <c r="E8" s="20" t="str">
        <f t="shared" ca="1" si="3"/>
        <v>HU03</v>
      </c>
    </row>
    <row r="9" spans="1:5" ht="15" customHeight="1" x14ac:dyDescent="0.2">
      <c r="A9" s="21" t="s">
        <v>17</v>
      </c>
      <c r="B9" s="17" t="str">
        <f t="shared" ca="1" si="0"/>
        <v>Consulta de disponibilidad</v>
      </c>
      <c r="C9" s="19">
        <f t="shared" ca="1" si="1"/>
        <v>4</v>
      </c>
      <c r="D9" s="19">
        <f t="shared" ca="1" si="2"/>
        <v>4</v>
      </c>
      <c r="E9" s="20" t="str">
        <f t="shared" ca="1" si="3"/>
        <v>HU04</v>
      </c>
    </row>
    <row r="10" spans="1:5" ht="15" customHeight="1" x14ac:dyDescent="0.2">
      <c r="A10" s="21" t="s">
        <v>18</v>
      </c>
      <c r="B10" s="17" t="str">
        <f t="shared" ca="1" si="0"/>
        <v>Creación de reserva</v>
      </c>
      <c r="C10" s="19">
        <f t="shared" ca="1" si="1"/>
        <v>4</v>
      </c>
      <c r="D10" s="19">
        <f t="shared" ca="1" si="2"/>
        <v>5</v>
      </c>
      <c r="E10" s="20" t="str">
        <f t="shared" ca="1" si="3"/>
        <v>HU05</v>
      </c>
    </row>
    <row r="11" spans="1:5" ht="15" customHeight="1" x14ac:dyDescent="0.2">
      <c r="A11" s="21" t="s">
        <v>19</v>
      </c>
      <c r="B11" s="17" t="str">
        <f t="shared" ca="1" si="0"/>
        <v>Cancelación de reservas</v>
      </c>
      <c r="C11" s="19">
        <f t="shared" ca="1" si="1"/>
        <v>4</v>
      </c>
      <c r="D11" s="19">
        <f t="shared" ca="1" si="2"/>
        <v>6</v>
      </c>
      <c r="E11" s="20" t="str">
        <f t="shared" ca="1" si="3"/>
        <v>HU06</v>
      </c>
    </row>
    <row r="12" spans="1:5" ht="15" customHeight="1" x14ac:dyDescent="0.2">
      <c r="A12" s="21" t="s">
        <v>20</v>
      </c>
      <c r="B12" s="17" t="str">
        <f t="shared" ca="1" si="0"/>
        <v>Modificación de reservas</v>
      </c>
      <c r="C12" s="19">
        <f t="shared" ca="1" si="1"/>
        <v>4</v>
      </c>
      <c r="D12" s="19">
        <f t="shared" ca="1" si="2"/>
        <v>7</v>
      </c>
      <c r="E12" s="20" t="str">
        <f t="shared" ca="1" si="3"/>
        <v>HU07</v>
      </c>
    </row>
    <row r="13" spans="1:5" ht="15" customHeight="1" x14ac:dyDescent="0.2">
      <c r="A13" s="21" t="s">
        <v>21</v>
      </c>
      <c r="B13" s="17" t="str">
        <f t="shared" ca="1" si="0"/>
        <v>Dashboard de ocupación</v>
      </c>
      <c r="C13" s="19">
        <f t="shared" ca="1" si="1"/>
        <v>4</v>
      </c>
      <c r="D13" s="19">
        <f t="shared" ca="1" si="2"/>
        <v>8</v>
      </c>
      <c r="E13" s="20" t="str">
        <f t="shared" ca="1" si="3"/>
        <v>HU08</v>
      </c>
    </row>
    <row r="14" spans="1:5" ht="15" customHeight="1" x14ac:dyDescent="0.2">
      <c r="A14" s="21" t="s">
        <v>22</v>
      </c>
      <c r="B14" s="17" t="str">
        <f t="shared" ca="1" si="0"/>
        <v>Reportes</v>
      </c>
      <c r="C14" s="19">
        <f t="shared" ca="1" si="1"/>
        <v>4</v>
      </c>
      <c r="D14" s="19">
        <f t="shared" ca="1" si="2"/>
        <v>9</v>
      </c>
      <c r="E14" s="20" t="str">
        <f t="shared" ca="1" si="3"/>
        <v>HU09</v>
      </c>
    </row>
    <row r="15" spans="1:5" ht="15" customHeight="1" x14ac:dyDescent="0.2">
      <c r="A15" s="21" t="s">
        <v>23</v>
      </c>
      <c r="B15" s="17" t="str">
        <f t="shared" ca="1" si="0"/>
        <v>Notificaciones</v>
      </c>
      <c r="C15" s="19">
        <f t="shared" ca="1" si="1"/>
        <v>4</v>
      </c>
      <c r="D15" s="19">
        <f t="shared" ca="1" si="2"/>
        <v>10</v>
      </c>
      <c r="E15" s="20" t="str">
        <f t="shared" ca="1" si="3"/>
        <v>HU10</v>
      </c>
    </row>
    <row r="16" spans="1:5" ht="15" customHeight="1" x14ac:dyDescent="0.2">
      <c r="A16" s="21"/>
      <c r="B16" s="17"/>
      <c r="C16" s="19"/>
      <c r="D16" s="19"/>
      <c r="E16" s="20"/>
    </row>
    <row r="17" spans="1:5" ht="15" customHeight="1" x14ac:dyDescent="0.2">
      <c r="A17" s="21"/>
      <c r="B17" s="17"/>
      <c r="C17" s="19"/>
      <c r="D17" s="19"/>
      <c r="E17" s="20"/>
    </row>
    <row r="18" spans="1:5" ht="15" customHeight="1" x14ac:dyDescent="0.2">
      <c r="A18" s="21"/>
      <c r="B18" s="17"/>
      <c r="C18" s="19"/>
      <c r="D18" s="19"/>
      <c r="E18" s="20"/>
    </row>
    <row r="19" spans="1:5" ht="15" customHeight="1" x14ac:dyDescent="0.2">
      <c r="A19" s="21"/>
      <c r="B19" s="17"/>
      <c r="C19" s="19"/>
      <c r="D19" s="19"/>
      <c r="E19" s="20"/>
    </row>
    <row r="20" spans="1:5" ht="15" customHeight="1" x14ac:dyDescent="0.2">
      <c r="A20" s="21"/>
      <c r="B20" s="17"/>
      <c r="C20" s="19"/>
      <c r="D20" s="19"/>
      <c r="E20" s="20"/>
    </row>
    <row r="21" spans="1:5" ht="15" customHeight="1" x14ac:dyDescent="0.2">
      <c r="A21" s="21"/>
      <c r="B21" s="17"/>
      <c r="C21" s="19"/>
      <c r="D21" s="19"/>
      <c r="E21" s="20"/>
    </row>
    <row r="22" spans="1:5" ht="15" customHeight="1" x14ac:dyDescent="0.2">
      <c r="A22" s="21"/>
      <c r="B22" s="17"/>
      <c r="C22" s="19"/>
      <c r="D22" s="19"/>
      <c r="E22" s="20"/>
    </row>
    <row r="23" spans="1:5" ht="15" customHeight="1" x14ac:dyDescent="0.2">
      <c r="A23" s="21"/>
      <c r="B23" s="17"/>
      <c r="C23" s="19"/>
      <c r="D23" s="19"/>
      <c r="E23" s="20"/>
    </row>
    <row r="24" spans="1:5" ht="15" customHeight="1" x14ac:dyDescent="0.2">
      <c r="A24" s="21"/>
      <c r="B24" s="17"/>
      <c r="C24" s="19"/>
      <c r="D24" s="19"/>
      <c r="E24" s="20"/>
    </row>
    <row r="25" spans="1:5" ht="15" customHeight="1" x14ac:dyDescent="0.2">
      <c r="A25" s="21"/>
      <c r="B25" s="17"/>
      <c r="C25" s="19"/>
      <c r="D25" s="19"/>
      <c r="E25" s="20"/>
    </row>
    <row r="26" spans="1:5" ht="15" customHeight="1" x14ac:dyDescent="0.2"/>
    <row r="27" spans="1:5" ht="15" customHeight="1" x14ac:dyDescent="0.2"/>
    <row r="28" spans="1:5" ht="15" customHeight="1" x14ac:dyDescent="0.2"/>
    <row r="29" spans="1:5" ht="15" customHeight="1" x14ac:dyDescent="0.2"/>
    <row r="30" spans="1:5" ht="15" customHeight="1" x14ac:dyDescent="0.2"/>
    <row r="31" spans="1:5" ht="15" customHeight="1" x14ac:dyDescent="0.2"/>
    <row r="32" spans="1:5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mergeCells count="5">
    <mergeCell ref="C2:E2"/>
    <mergeCell ref="A2:B2"/>
    <mergeCell ref="A4:E4"/>
    <mergeCell ref="A1:E1"/>
    <mergeCell ref="A3:E3"/>
  </mergeCells>
  <conditionalFormatting sqref="B6:E25">
    <cfRule type="expression" dxfId="15" priority="1">
      <formula>ISODD(ROW($A6))=TRUE</formula>
    </cfRule>
    <cfRule type="expression" dxfId="14" priority="2">
      <formula>ISEVEN(ROW($A6))=TRUE</formula>
    </cfRule>
  </conditionalFormatting>
  <pageMargins left="0.70866141732283472" right="0.70866141732283472" top="0.74803149606299213" bottom="0.74803149606299213" header="0.31496062992125978" footer="0.31496062992125978"/>
  <pageSetup paperSize="9" scale="7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24" sqref="A24"/>
    </sheetView>
  </sheetViews>
  <sheetFormatPr baseColWidth="10" defaultColWidth="11.42578125" defaultRowHeight="12.75" x14ac:dyDescent="0.2"/>
  <cols>
    <col min="1" max="1" width="10.7109375" style="1" customWidth="1"/>
    <col min="2" max="2" width="40.7109375" style="1" customWidth="1"/>
    <col min="3" max="3" width="10.7109375" style="1" customWidth="1"/>
    <col min="4" max="4" width="15.7109375" style="1" customWidth="1"/>
    <col min="5" max="5" width="40.7109375" style="1" customWidth="1"/>
    <col min="6" max="7" width="10.7109375" style="1" customWidth="1"/>
    <col min="8" max="9" width="20.7109375" style="1" customWidth="1"/>
    <col min="10" max="10" width="11.42578125" style="1" customWidth="1"/>
    <col min="11" max="16384" width="11.42578125" style="1"/>
  </cols>
  <sheetData>
    <row r="1" spans="1:11" ht="4.9000000000000004" customHeight="1" x14ac:dyDescent="0.2">
      <c r="A1" s="42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30" customHeight="1" x14ac:dyDescent="0.2">
      <c r="A2" s="43" t="s">
        <v>0</v>
      </c>
      <c r="B2" s="39"/>
      <c r="C2" s="39"/>
      <c r="D2" s="2"/>
      <c r="E2" s="2"/>
      <c r="F2" s="2"/>
      <c r="G2" s="2"/>
      <c r="H2" s="2"/>
      <c r="I2" s="40" t="s">
        <v>1</v>
      </c>
      <c r="J2" s="39"/>
      <c r="K2" s="39"/>
    </row>
    <row r="3" spans="1:11" ht="4.9000000000000004" customHeight="1" x14ac:dyDescent="0.2">
      <c r="A3" s="41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30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4" t="s">
        <v>9</v>
      </c>
      <c r="I5" s="4" t="s">
        <v>10</v>
      </c>
      <c r="J5" s="3" t="s">
        <v>11</v>
      </c>
      <c r="K5" s="3" t="s">
        <v>12</v>
      </c>
    </row>
    <row r="6" spans="1:11" s="18" customFormat="1" ht="15" customHeight="1" x14ac:dyDescent="0.25">
      <c r="A6" s="21" t="s">
        <v>13</v>
      </c>
      <c r="B6" s="17" t="str">
        <f t="shared" ref="B6:B15" ca="1" si="0">INDIRECT(CONCATENATE("'",TRIM(A6),"'!",CELL("DIRECCION",$C$7)))</f>
        <v>Registro de espacios</v>
      </c>
      <c r="C6" s="30" t="str">
        <f t="shared" ref="C6:C15" ca="1" si="1">HYPERLINK(CONCATENATE("#'",TRIM(A6),"'!",CELL("DIRECCION",$A$5)),A6)</f>
        <v>HU01</v>
      </c>
      <c r="D6" s="19" t="str">
        <f t="shared" ref="D6:D15" si="2">A6</f>
        <v>HU01</v>
      </c>
      <c r="E6" s="17" t="str">
        <f t="shared" ref="E6:E15" ca="1" si="3">B6</f>
        <v>Registro de espacios</v>
      </c>
      <c r="F6" s="31">
        <v>1</v>
      </c>
      <c r="G6" s="19">
        <f t="shared" ref="G6:G15" ca="1" si="4">INDIRECT(CONCATENATE("'",TRIM(A6),"'!",CELL("DIRECCION",$C$8)))</f>
        <v>1</v>
      </c>
      <c r="H6" s="37">
        <f t="shared" ref="H6:H15" si="5">VLOOKUP(F6,Tabla_Sprint,3,FALSE)</f>
        <v>46252</v>
      </c>
      <c r="I6" s="37">
        <f t="shared" ref="I6:I15" si="6">VLOOKUP(F6,Tabla_Sprint,4,FALSE)</f>
        <v>46273</v>
      </c>
      <c r="J6" s="33">
        <v>0</v>
      </c>
      <c r="K6" s="34" t="s">
        <v>14</v>
      </c>
    </row>
    <row r="7" spans="1:11" s="18" customFormat="1" ht="15" customHeight="1" x14ac:dyDescent="0.25">
      <c r="A7" s="21" t="s">
        <v>15</v>
      </c>
      <c r="B7" s="17" t="str">
        <f t="shared" ca="1" si="0"/>
        <v>Modificación de espacio</v>
      </c>
      <c r="C7" s="30" t="str">
        <f t="shared" ca="1" si="1"/>
        <v>HU02</v>
      </c>
      <c r="D7" s="19" t="str">
        <f t="shared" si="2"/>
        <v>HU02</v>
      </c>
      <c r="E7" s="17" t="str">
        <f t="shared" ca="1" si="3"/>
        <v>Modificación de espacio</v>
      </c>
      <c r="F7" s="31">
        <v>1</v>
      </c>
      <c r="G7" s="19">
        <f t="shared" ca="1" si="4"/>
        <v>2</v>
      </c>
      <c r="H7" s="37">
        <f t="shared" si="5"/>
        <v>46252</v>
      </c>
      <c r="I7" s="37">
        <f t="shared" si="6"/>
        <v>46273</v>
      </c>
      <c r="J7" s="33">
        <v>0</v>
      </c>
      <c r="K7" s="34" t="s">
        <v>14</v>
      </c>
    </row>
    <row r="8" spans="1:11" s="18" customFormat="1" ht="15" customHeight="1" x14ac:dyDescent="0.25">
      <c r="A8" s="21" t="s">
        <v>16</v>
      </c>
      <c r="B8" s="17" t="str">
        <f t="shared" ca="1" si="0"/>
        <v>Registro de nuevo usuario</v>
      </c>
      <c r="C8" s="30" t="str">
        <f t="shared" ca="1" si="1"/>
        <v>HU03</v>
      </c>
      <c r="D8" s="19" t="str">
        <f t="shared" si="2"/>
        <v>HU03</v>
      </c>
      <c r="E8" s="17" t="str">
        <f t="shared" ca="1" si="3"/>
        <v>Registro de nuevo usuario</v>
      </c>
      <c r="F8" s="31">
        <v>1</v>
      </c>
      <c r="G8" s="19">
        <f t="shared" ca="1" si="4"/>
        <v>3</v>
      </c>
      <c r="H8" s="37">
        <f t="shared" si="5"/>
        <v>46252</v>
      </c>
      <c r="I8" s="37">
        <f t="shared" si="6"/>
        <v>46273</v>
      </c>
      <c r="J8" s="33">
        <v>0</v>
      </c>
      <c r="K8" s="34" t="s">
        <v>14</v>
      </c>
    </row>
    <row r="9" spans="1:11" ht="15" customHeight="1" x14ac:dyDescent="0.2">
      <c r="A9" s="21" t="s">
        <v>17</v>
      </c>
      <c r="B9" s="17" t="str">
        <f t="shared" ca="1" si="0"/>
        <v>Consulta de disponibilidad</v>
      </c>
      <c r="C9" s="30" t="str">
        <f t="shared" ca="1" si="1"/>
        <v>HU04</v>
      </c>
      <c r="D9" s="19" t="str">
        <f t="shared" si="2"/>
        <v>HU04</v>
      </c>
      <c r="E9" s="17" t="str">
        <f t="shared" ca="1" si="3"/>
        <v>Consulta de disponibilidad</v>
      </c>
      <c r="F9" s="31">
        <v>2</v>
      </c>
      <c r="G9" s="19">
        <f t="shared" ca="1" si="4"/>
        <v>4</v>
      </c>
      <c r="H9" s="37">
        <f t="shared" si="5"/>
        <v>46274</v>
      </c>
      <c r="I9" s="37">
        <f t="shared" si="6"/>
        <v>46301</v>
      </c>
      <c r="J9" s="33">
        <v>0</v>
      </c>
      <c r="K9" s="34" t="s">
        <v>14</v>
      </c>
    </row>
    <row r="10" spans="1:11" ht="15" customHeight="1" x14ac:dyDescent="0.2">
      <c r="A10" s="21" t="s">
        <v>18</v>
      </c>
      <c r="B10" s="17" t="str">
        <f t="shared" ca="1" si="0"/>
        <v>Creación de reserva</v>
      </c>
      <c r="C10" s="30" t="str">
        <f t="shared" ca="1" si="1"/>
        <v>HU05</v>
      </c>
      <c r="D10" s="19" t="str">
        <f t="shared" si="2"/>
        <v>HU05</v>
      </c>
      <c r="E10" s="17" t="str">
        <f t="shared" ca="1" si="3"/>
        <v>Creación de reserva</v>
      </c>
      <c r="F10" s="31">
        <v>2</v>
      </c>
      <c r="G10" s="19">
        <f t="shared" ca="1" si="4"/>
        <v>5</v>
      </c>
      <c r="H10" s="37">
        <f t="shared" si="5"/>
        <v>46274</v>
      </c>
      <c r="I10" s="37">
        <f t="shared" si="6"/>
        <v>46301</v>
      </c>
      <c r="J10" s="33">
        <v>0</v>
      </c>
      <c r="K10" s="34" t="s">
        <v>14</v>
      </c>
    </row>
    <row r="11" spans="1:11" ht="15" customHeight="1" x14ac:dyDescent="0.2">
      <c r="A11" s="21" t="s">
        <v>19</v>
      </c>
      <c r="B11" s="17" t="str">
        <f t="shared" ca="1" si="0"/>
        <v>Cancelación de reservas</v>
      </c>
      <c r="C11" s="30" t="str">
        <f t="shared" ca="1" si="1"/>
        <v>HU06</v>
      </c>
      <c r="D11" s="19" t="str">
        <f t="shared" si="2"/>
        <v>HU06</v>
      </c>
      <c r="E11" s="17" t="str">
        <f t="shared" ca="1" si="3"/>
        <v>Cancelación de reservas</v>
      </c>
      <c r="F11" s="31">
        <v>3</v>
      </c>
      <c r="G11" s="19">
        <f t="shared" ca="1" si="4"/>
        <v>6</v>
      </c>
      <c r="H11" s="37">
        <f t="shared" si="5"/>
        <v>46302</v>
      </c>
      <c r="I11" s="37">
        <f t="shared" si="6"/>
        <v>46329</v>
      </c>
      <c r="J11" s="33">
        <v>0</v>
      </c>
      <c r="K11" s="34" t="s">
        <v>14</v>
      </c>
    </row>
    <row r="12" spans="1:11" ht="15" customHeight="1" x14ac:dyDescent="0.2">
      <c r="A12" s="21" t="s">
        <v>20</v>
      </c>
      <c r="B12" s="17" t="str">
        <f t="shared" ca="1" si="0"/>
        <v>Modificación de reservas</v>
      </c>
      <c r="C12" s="30" t="str">
        <f t="shared" ca="1" si="1"/>
        <v>HU07</v>
      </c>
      <c r="D12" s="19" t="str">
        <f t="shared" si="2"/>
        <v>HU07</v>
      </c>
      <c r="E12" s="17" t="str">
        <f t="shared" ca="1" si="3"/>
        <v>Modificación de reservas</v>
      </c>
      <c r="F12" s="31">
        <v>3</v>
      </c>
      <c r="G12" s="19">
        <f t="shared" ca="1" si="4"/>
        <v>7</v>
      </c>
      <c r="H12" s="37">
        <f t="shared" si="5"/>
        <v>46302</v>
      </c>
      <c r="I12" s="37">
        <f t="shared" si="6"/>
        <v>46329</v>
      </c>
      <c r="J12" s="33">
        <v>0</v>
      </c>
      <c r="K12" s="34" t="s">
        <v>14</v>
      </c>
    </row>
    <row r="13" spans="1:11" ht="15" customHeight="1" x14ac:dyDescent="0.2">
      <c r="A13" s="21" t="s">
        <v>21</v>
      </c>
      <c r="B13" s="17" t="str">
        <f t="shared" ca="1" si="0"/>
        <v>Dashboard de ocupación</v>
      </c>
      <c r="C13" s="30" t="str">
        <f t="shared" ca="1" si="1"/>
        <v>HU08</v>
      </c>
      <c r="D13" s="19" t="str">
        <f t="shared" si="2"/>
        <v>HU08</v>
      </c>
      <c r="E13" s="17" t="str">
        <f t="shared" ca="1" si="3"/>
        <v>Dashboard de ocupación</v>
      </c>
      <c r="F13" s="31">
        <v>3</v>
      </c>
      <c r="G13" s="19">
        <f t="shared" ca="1" si="4"/>
        <v>8</v>
      </c>
      <c r="H13" s="37">
        <f t="shared" si="5"/>
        <v>46302</v>
      </c>
      <c r="I13" s="37">
        <f t="shared" si="6"/>
        <v>46329</v>
      </c>
      <c r="J13" s="33">
        <v>0</v>
      </c>
      <c r="K13" s="34" t="s">
        <v>14</v>
      </c>
    </row>
    <row r="14" spans="1:11" ht="15" customHeight="1" x14ac:dyDescent="0.2">
      <c r="A14" s="21" t="s">
        <v>22</v>
      </c>
      <c r="B14" s="17" t="str">
        <f t="shared" ca="1" si="0"/>
        <v>Reportes</v>
      </c>
      <c r="C14" s="30" t="str">
        <f t="shared" ca="1" si="1"/>
        <v>HU09</v>
      </c>
      <c r="D14" s="19" t="str">
        <f t="shared" si="2"/>
        <v>HU09</v>
      </c>
      <c r="E14" s="17" t="str">
        <f t="shared" ca="1" si="3"/>
        <v>Reportes</v>
      </c>
      <c r="F14" s="31">
        <v>4</v>
      </c>
      <c r="G14" s="19">
        <f t="shared" ca="1" si="4"/>
        <v>9</v>
      </c>
      <c r="H14" s="37">
        <f t="shared" si="5"/>
        <v>46330</v>
      </c>
      <c r="I14" s="37">
        <f t="shared" si="6"/>
        <v>46357</v>
      </c>
      <c r="J14" s="33">
        <v>0</v>
      </c>
      <c r="K14" s="34" t="s">
        <v>14</v>
      </c>
    </row>
    <row r="15" spans="1:11" ht="15" customHeight="1" x14ac:dyDescent="0.2">
      <c r="A15" s="21" t="s">
        <v>23</v>
      </c>
      <c r="B15" s="17" t="str">
        <f t="shared" ca="1" si="0"/>
        <v>Notificaciones</v>
      </c>
      <c r="C15" s="30" t="str">
        <f t="shared" ca="1" si="1"/>
        <v>HU10</v>
      </c>
      <c r="D15" s="19" t="str">
        <f t="shared" si="2"/>
        <v>HU10</v>
      </c>
      <c r="E15" s="17" t="str">
        <f t="shared" ca="1" si="3"/>
        <v>Notificaciones</v>
      </c>
      <c r="F15" s="31">
        <v>4</v>
      </c>
      <c r="G15" s="19">
        <f t="shared" ca="1" si="4"/>
        <v>10</v>
      </c>
      <c r="H15" s="37">
        <f t="shared" si="5"/>
        <v>46330</v>
      </c>
      <c r="I15" s="37">
        <f t="shared" si="6"/>
        <v>46357</v>
      </c>
      <c r="J15" s="33">
        <v>0</v>
      </c>
      <c r="K15" s="34" t="s">
        <v>14</v>
      </c>
    </row>
    <row r="16" spans="1:11" ht="15" customHeight="1" x14ac:dyDescent="0.2">
      <c r="A16" s="21"/>
      <c r="B16" s="17"/>
      <c r="C16" s="30"/>
      <c r="D16" s="19"/>
      <c r="E16" s="17"/>
      <c r="F16" s="31"/>
      <c r="G16" s="19"/>
      <c r="H16" s="32"/>
      <c r="I16" s="32"/>
      <c r="J16" s="33"/>
      <c r="K16" s="34"/>
    </row>
    <row r="17" spans="1:11" ht="15" customHeight="1" x14ac:dyDescent="0.2">
      <c r="A17" s="21"/>
      <c r="B17" s="17"/>
      <c r="C17" s="30"/>
      <c r="D17" s="19"/>
      <c r="E17" s="17"/>
      <c r="F17" s="31"/>
      <c r="G17" s="19"/>
      <c r="H17" s="32"/>
      <c r="I17" s="32"/>
      <c r="J17" s="33"/>
      <c r="K17" s="34"/>
    </row>
    <row r="18" spans="1:11" ht="15" customHeight="1" x14ac:dyDescent="0.2">
      <c r="A18" s="21"/>
      <c r="B18" s="17"/>
      <c r="C18" s="30"/>
      <c r="D18" s="19"/>
      <c r="E18" s="17"/>
      <c r="F18" s="31"/>
      <c r="G18" s="19"/>
      <c r="H18" s="32"/>
      <c r="I18" s="32"/>
      <c r="J18" s="33"/>
      <c r="K18" s="34"/>
    </row>
    <row r="19" spans="1:11" ht="15" customHeight="1" x14ac:dyDescent="0.2">
      <c r="A19" s="21"/>
      <c r="B19" s="17"/>
      <c r="C19" s="30"/>
      <c r="D19" s="19"/>
      <c r="E19" s="17"/>
      <c r="F19" s="31"/>
      <c r="G19" s="19"/>
      <c r="H19" s="32"/>
      <c r="I19" s="32"/>
      <c r="J19" s="33"/>
      <c r="K19" s="34"/>
    </row>
    <row r="20" spans="1:11" ht="15" customHeight="1" x14ac:dyDescent="0.2">
      <c r="A20" s="21"/>
      <c r="B20" s="17"/>
      <c r="C20" s="30"/>
      <c r="D20" s="19"/>
      <c r="E20" s="17"/>
      <c r="F20" s="31"/>
      <c r="G20" s="19"/>
      <c r="H20" s="32"/>
      <c r="I20" s="32"/>
      <c r="J20" s="33"/>
      <c r="K20" s="34"/>
    </row>
    <row r="21" spans="1:11" ht="15" customHeight="1" x14ac:dyDescent="0.2">
      <c r="A21" s="21"/>
      <c r="B21" s="17"/>
      <c r="C21" s="30"/>
      <c r="D21" s="19"/>
      <c r="E21" s="17"/>
      <c r="F21" s="31"/>
      <c r="G21" s="19"/>
      <c r="H21" s="32"/>
      <c r="I21" s="32"/>
      <c r="J21" s="33"/>
      <c r="K21" s="34"/>
    </row>
    <row r="22" spans="1:11" ht="15" customHeight="1" x14ac:dyDescent="0.2">
      <c r="A22" s="21"/>
      <c r="B22" s="17"/>
      <c r="C22" s="30"/>
      <c r="D22" s="19"/>
      <c r="E22" s="17"/>
      <c r="F22" s="31"/>
      <c r="G22" s="19"/>
      <c r="H22" s="32"/>
      <c r="I22" s="32"/>
      <c r="J22" s="33"/>
      <c r="K22" s="34"/>
    </row>
    <row r="23" spans="1:11" ht="15" customHeight="1" x14ac:dyDescent="0.2">
      <c r="A23" s="21"/>
      <c r="B23" s="17"/>
      <c r="C23" s="30"/>
      <c r="D23" s="19"/>
      <c r="E23" s="17"/>
      <c r="F23" s="31"/>
      <c r="G23" s="19"/>
      <c r="H23" s="32"/>
      <c r="I23" s="32"/>
      <c r="J23" s="33"/>
      <c r="K23" s="34"/>
    </row>
    <row r="24" spans="1:11" ht="15" customHeight="1" x14ac:dyDescent="0.2">
      <c r="A24" s="21"/>
      <c r="B24" s="17"/>
      <c r="C24" s="30"/>
      <c r="D24" s="19"/>
      <c r="E24" s="17"/>
      <c r="F24" s="31"/>
      <c r="G24" s="19"/>
      <c r="H24" s="32"/>
      <c r="I24" s="32"/>
      <c r="J24" s="33"/>
      <c r="K24" s="34"/>
    </row>
    <row r="25" spans="1:11" ht="15" customHeight="1" x14ac:dyDescent="0.2">
      <c r="A25" s="21"/>
      <c r="B25" s="17"/>
      <c r="C25" s="30"/>
      <c r="D25" s="19"/>
      <c r="E25" s="17"/>
      <c r="F25" s="31"/>
      <c r="G25" s="19"/>
      <c r="H25" s="32"/>
      <c r="I25" s="32"/>
      <c r="J25" s="33"/>
      <c r="K25" s="34"/>
    </row>
    <row r="26" spans="1:11" ht="15" customHeight="1" x14ac:dyDescent="0.2"/>
    <row r="27" spans="1:11" ht="15" customHeight="1" x14ac:dyDescent="0.2"/>
    <row r="28" spans="1:11" ht="15" customHeight="1" x14ac:dyDescent="0.2"/>
    <row r="29" spans="1:11" ht="15" customHeight="1" x14ac:dyDescent="0.2"/>
    <row r="30" spans="1:11" ht="15" customHeight="1" x14ac:dyDescent="0.2"/>
    <row r="31" spans="1:11" ht="15" customHeight="1" x14ac:dyDescent="0.2"/>
    <row r="32" spans="1:11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mergeCells count="5">
    <mergeCell ref="A4:K4"/>
    <mergeCell ref="I2:K2"/>
    <mergeCell ref="A3:K3"/>
    <mergeCell ref="A1:K1"/>
    <mergeCell ref="A2:C2"/>
  </mergeCells>
  <conditionalFormatting sqref="B6:E25 G6:I25">
    <cfRule type="expression" dxfId="13" priority="5">
      <formula>ISODD(ROW($A6))=TRUE</formula>
    </cfRule>
    <cfRule type="expression" dxfId="12" priority="6">
      <formula>ISEVEN(ROW($A6))=TRUE</formula>
    </cfRule>
  </conditionalFormatting>
  <dataValidations count="1">
    <dataValidation type="list" allowBlank="1" showInputMessage="1" showErrorMessage="1" sqref="K6:K25" xr:uid="{00000000-0002-0000-0300-000000000000}">
      <formula1>Estados_HU</formula1>
    </dataValidation>
  </dataValidations>
  <pageMargins left="0.70866141732283472" right="0.70866141732283472" top="0.74803149606299213" bottom="0.74803149606299213" header="0.31496062992125978" footer="0.31496062992125978"/>
  <pageSetup paperSize="9" scale="7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73"/>
  <sheetViews>
    <sheetView workbookViewId="0">
      <selection activeCell="C9" sqref="C9:D9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13</v>
      </c>
      <c r="D6" s="47"/>
    </row>
    <row r="7" spans="1:4" ht="15" customHeight="1" outlineLevel="1" x14ac:dyDescent="0.25">
      <c r="A7" s="8"/>
      <c r="B7" s="12" t="s">
        <v>31</v>
      </c>
      <c r="C7" s="46" t="s">
        <v>47</v>
      </c>
      <c r="D7" s="47"/>
    </row>
    <row r="8" spans="1:4" ht="15" customHeight="1" outlineLevel="1" x14ac:dyDescent="0.25">
      <c r="A8" s="8"/>
      <c r="B8" s="12" t="s">
        <v>8</v>
      </c>
      <c r="C8" s="50">
        <v>1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49</v>
      </c>
      <c r="D11" s="47"/>
    </row>
    <row r="12" spans="1:4" s="8" customFormat="1" ht="15" customHeight="1" outlineLevel="1" x14ac:dyDescent="0.25">
      <c r="B12" s="9" t="s">
        <v>50</v>
      </c>
      <c r="C12" s="46" t="s">
        <v>51</v>
      </c>
      <c r="D12" s="47"/>
    </row>
    <row r="13" spans="1:4" s="8" customFormat="1" ht="15" customHeight="1" outlineLevel="1" x14ac:dyDescent="0.25">
      <c r="B13" s="9" t="s">
        <v>52</v>
      </c>
      <c r="C13" s="46" t="s">
        <v>53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Registro exitoso de un espacio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57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59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62</v>
      </c>
    </row>
    <row r="30" spans="1:4" ht="26.45" hidden="1" customHeight="1" outlineLevel="2" x14ac:dyDescent="0.2">
      <c r="C30" s="14" t="s">
        <v>63</v>
      </c>
      <c r="D30" s="17" t="s">
        <v>64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Datos obligatorios incompletos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65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59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66</v>
      </c>
    </row>
    <row r="39" spans="2:4" ht="15" hidden="1" customHeight="1" outlineLevel="2" x14ac:dyDescent="0.2">
      <c r="C39" s="14" t="s">
        <v>63</v>
      </c>
      <c r="D39" s="17" t="s">
        <v>67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Capacidad no válida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68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59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69</v>
      </c>
    </row>
    <row r="48" spans="2:4" ht="15" hidden="1" customHeight="1" outlineLevel="2" x14ac:dyDescent="0.2">
      <c r="C48" s="14" t="s">
        <v>63</v>
      </c>
      <c r="D48" s="17" t="s">
        <v>70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Horario no válido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71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59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72</v>
      </c>
    </row>
    <row r="57" spans="1:4" ht="15" hidden="1" customHeight="1" outlineLevel="2" x14ac:dyDescent="0.2">
      <c r="C57" s="14" t="s">
        <v>63</v>
      </c>
      <c r="D57" s="17" t="s">
        <v>73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Registro correcto del espacio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75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77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Validación de datos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78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79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conditionalFormatting sqref="C6:C9 C11:C13 B17:C20 D24:D25 D27:D30">
    <cfRule type="expression" dxfId="11" priority="29">
      <formula>ISEVEN(ROW($A6))=TRUE</formula>
    </cfRule>
    <cfRule type="expression" dxfId="10" priority="30">
      <formula>ISODD(ROW($A6))=TRUE</formula>
    </cfRule>
  </conditionalFormatting>
  <conditionalFormatting sqref="D33:D34 D36:D39">
    <cfRule type="expression" dxfId="9" priority="25">
      <formula>ISEVEN(ROW($A33))=TRUE</formula>
    </cfRule>
    <cfRule type="expression" dxfId="8" priority="26">
      <formula>ISODD(ROW($A33))=TRUE</formula>
    </cfRule>
  </conditionalFormatting>
  <conditionalFormatting sqref="D42:D43 D45:D48">
    <cfRule type="expression" dxfId="7" priority="13">
      <formula>ISEVEN(ROW($A42))=TRUE</formula>
    </cfRule>
    <cfRule type="expression" dxfId="6" priority="14">
      <formula>ISODD(ROW($A42))=TRUE</formula>
    </cfRule>
  </conditionalFormatting>
  <conditionalFormatting sqref="D51:D52 D54:D57">
    <cfRule type="expression" dxfId="5" priority="9">
      <formula>ISEVEN(ROW($A51))=TRUE</formula>
    </cfRule>
    <cfRule type="expression" dxfId="4" priority="10">
      <formula>ISODD(ROW($A51))=TRUE</formula>
    </cfRule>
  </conditionalFormatting>
  <conditionalFormatting sqref="D62:D63 D65">
    <cfRule type="expression" dxfId="3" priority="5">
      <formula>ISEVEN(ROW($A62))=TRUE</formula>
    </cfRule>
    <cfRule type="expression" dxfId="2" priority="6">
      <formula>ISODD(ROW($A62))=TRUE</formula>
    </cfRule>
  </conditionalFormatting>
  <conditionalFormatting sqref="D68:D69 D71">
    <cfRule type="expression" dxfId="1" priority="1">
      <formula>ISEVEN(ROW($A68))=TRUE</formula>
    </cfRule>
    <cfRule type="expression" dxfId="0" priority="2">
      <formula>ISODD(ROW($A68))=TRUE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25"/>
  <sheetViews>
    <sheetView workbookViewId="0">
      <selection activeCell="B13" sqref="B13"/>
    </sheetView>
  </sheetViews>
  <sheetFormatPr baseColWidth="10" defaultColWidth="10.85546875" defaultRowHeight="12.75" outlineLevelRow="1" x14ac:dyDescent="0.2"/>
  <cols>
    <col min="1" max="1" width="25.7109375" style="1" customWidth="1"/>
    <col min="2" max="2" width="20.7109375" style="1" customWidth="1"/>
    <col min="3" max="3" width="10.85546875" style="1" customWidth="1"/>
    <col min="4" max="16384" width="10.85546875" style="1"/>
  </cols>
  <sheetData>
    <row r="1" spans="1:2" ht="19.899999999999999" customHeight="1" x14ac:dyDescent="0.2">
      <c r="A1" s="23" t="s">
        <v>80</v>
      </c>
      <c r="B1" s="10"/>
    </row>
    <row r="2" spans="1:2" ht="15" customHeight="1" outlineLevel="1" x14ac:dyDescent="0.2">
      <c r="A2" s="8"/>
      <c r="B2" s="24">
        <v>46023</v>
      </c>
    </row>
    <row r="3" spans="1:2" ht="15" customHeight="1" outlineLevel="1" x14ac:dyDescent="0.2">
      <c r="A3" s="8"/>
      <c r="B3" s="25">
        <v>46114</v>
      </c>
    </row>
    <row r="4" spans="1:2" ht="15" customHeight="1" outlineLevel="1" x14ac:dyDescent="0.2">
      <c r="A4" s="8"/>
      <c r="B4" s="24">
        <v>46115</v>
      </c>
    </row>
    <row r="5" spans="1:2" ht="15" customHeight="1" outlineLevel="1" x14ac:dyDescent="0.2">
      <c r="A5" s="8"/>
      <c r="B5" s="25">
        <v>46143</v>
      </c>
    </row>
    <row r="6" spans="1:2" ht="15" customHeight="1" outlineLevel="1" x14ac:dyDescent="0.2">
      <c r="A6" s="8"/>
      <c r="B6" s="24">
        <v>46180</v>
      </c>
    </row>
    <row r="7" spans="1:2" ht="15" customHeight="1" outlineLevel="1" x14ac:dyDescent="0.2">
      <c r="A7" s="8"/>
      <c r="B7" s="25">
        <v>46202</v>
      </c>
    </row>
    <row r="8" spans="1:2" ht="15" customHeight="1" outlineLevel="1" x14ac:dyDescent="0.2">
      <c r="A8" s="8"/>
      <c r="B8" s="24">
        <v>46226</v>
      </c>
    </row>
    <row r="9" spans="1:2" ht="15" customHeight="1" outlineLevel="1" x14ac:dyDescent="0.2">
      <c r="A9" s="8"/>
      <c r="B9" s="25">
        <v>46231</v>
      </c>
    </row>
    <row r="10" spans="1:2" ht="15" customHeight="1" outlineLevel="1" x14ac:dyDescent="0.2">
      <c r="A10" s="8"/>
      <c r="B10" s="24">
        <v>46232</v>
      </c>
    </row>
    <row r="11" spans="1:2" ht="15" customHeight="1" outlineLevel="1" x14ac:dyDescent="0.2">
      <c r="A11" s="8"/>
      <c r="B11" s="25">
        <v>46240</v>
      </c>
    </row>
    <row r="12" spans="1:2" ht="15" customHeight="1" outlineLevel="1" x14ac:dyDescent="0.2">
      <c r="A12" s="8"/>
      <c r="B12" s="24">
        <v>46264</v>
      </c>
    </row>
    <row r="13" spans="1:2" ht="15" customHeight="1" outlineLevel="1" x14ac:dyDescent="0.2">
      <c r="A13" s="8"/>
      <c r="B13" s="25">
        <v>46303</v>
      </c>
    </row>
    <row r="14" spans="1:2" ht="15" customHeight="1" outlineLevel="1" x14ac:dyDescent="0.2">
      <c r="A14" s="8"/>
      <c r="B14" s="24">
        <v>46327</v>
      </c>
    </row>
    <row r="15" spans="1:2" ht="15" customHeight="1" outlineLevel="1" x14ac:dyDescent="0.2">
      <c r="A15" s="8"/>
      <c r="B15" s="25">
        <v>46364</v>
      </c>
    </row>
    <row r="16" spans="1:2" ht="15" customHeight="1" outlineLevel="1" x14ac:dyDescent="0.2">
      <c r="A16" s="8"/>
      <c r="B16" s="24">
        <v>46365</v>
      </c>
    </row>
    <row r="17" spans="1:2" ht="15" customHeight="1" outlineLevel="1" x14ac:dyDescent="0.2">
      <c r="A17" s="8"/>
      <c r="B17" s="25">
        <v>46381</v>
      </c>
    </row>
    <row r="18" spans="1:2" ht="15" customHeight="1" outlineLevel="1" x14ac:dyDescent="0.2">
      <c r="A18" s="8"/>
      <c r="B18" s="24"/>
    </row>
    <row r="19" spans="1:2" ht="15" customHeight="1" outlineLevel="1" x14ac:dyDescent="0.2"/>
    <row r="20" spans="1:2" ht="19.899999999999999" customHeight="1" collapsed="1" x14ac:dyDescent="0.2">
      <c r="A20" s="23" t="s">
        <v>81</v>
      </c>
      <c r="B20" s="10"/>
    </row>
    <row r="21" spans="1:2" ht="15" hidden="1" customHeight="1" outlineLevel="1" x14ac:dyDescent="0.2">
      <c r="A21" s="8"/>
      <c r="B21" s="26" t="s">
        <v>14</v>
      </c>
    </row>
    <row r="22" spans="1:2" ht="15" hidden="1" customHeight="1" outlineLevel="1" x14ac:dyDescent="0.2">
      <c r="B22" s="27" t="s">
        <v>82</v>
      </c>
    </row>
    <row r="23" spans="1:2" ht="15" hidden="1" customHeight="1" outlineLevel="1" x14ac:dyDescent="0.2">
      <c r="B23" s="26" t="s">
        <v>83</v>
      </c>
    </row>
    <row r="24" spans="1:2" ht="15" hidden="1" customHeight="1" outlineLevel="1" x14ac:dyDescent="0.2">
      <c r="B24" s="27" t="s">
        <v>84</v>
      </c>
    </row>
    <row r="25" spans="1:2" ht="15" hidden="1" customHeight="1" outlineLevel="1" x14ac:dyDescent="0.2">
      <c r="B25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73"/>
  <sheetViews>
    <sheetView workbookViewId="0">
      <selection sqref="A1:D1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15</v>
      </c>
      <c r="D6" s="47"/>
    </row>
    <row r="7" spans="1:4" ht="15" customHeight="1" outlineLevel="1" x14ac:dyDescent="0.25">
      <c r="A7" s="8"/>
      <c r="B7" s="12" t="s">
        <v>31</v>
      </c>
      <c r="C7" s="46" t="s">
        <v>85</v>
      </c>
      <c r="D7" s="47"/>
    </row>
    <row r="8" spans="1:4" ht="15" customHeight="1" outlineLevel="1" x14ac:dyDescent="0.25">
      <c r="A8" s="8"/>
      <c r="B8" s="12" t="s">
        <v>8</v>
      </c>
      <c r="C8" s="50">
        <v>2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49</v>
      </c>
      <c r="D11" s="47"/>
    </row>
    <row r="12" spans="1:4" s="8" customFormat="1" ht="15" customHeight="1" outlineLevel="1" x14ac:dyDescent="0.25">
      <c r="B12" s="9" t="s">
        <v>50</v>
      </c>
      <c r="C12" s="46" t="s">
        <v>86</v>
      </c>
      <c r="D12" s="47"/>
    </row>
    <row r="13" spans="1:4" s="8" customFormat="1" ht="15" customHeight="1" outlineLevel="1" x14ac:dyDescent="0.25">
      <c r="B13" s="9" t="s">
        <v>52</v>
      </c>
      <c r="C13" s="46" t="s">
        <v>87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Edición de un espacio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88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89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90</v>
      </c>
    </row>
    <row r="30" spans="1:4" ht="26.45" hidden="1" customHeight="1" outlineLevel="2" x14ac:dyDescent="0.2">
      <c r="C30" s="14" t="s">
        <v>63</v>
      </c>
      <c r="D30" s="17" t="s">
        <v>91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Dar de baja un espacio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92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89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93</v>
      </c>
    </row>
    <row r="39" spans="2:4" ht="15" hidden="1" customHeight="1" outlineLevel="2" x14ac:dyDescent="0.2">
      <c r="C39" s="14" t="s">
        <v>63</v>
      </c>
      <c r="D39" s="17" t="s">
        <v>94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Espacio inexistente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95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96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97</v>
      </c>
    </row>
    <row r="48" spans="2:4" ht="15" hidden="1" customHeight="1" outlineLevel="2" x14ac:dyDescent="0.2">
      <c r="C48" s="14" t="s">
        <v>63</v>
      </c>
      <c r="D48" s="17" t="s">
        <v>98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Modificación inválida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99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100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101</v>
      </c>
    </row>
    <row r="57" spans="1:4" ht="15" hidden="1" customHeight="1" outlineLevel="2" x14ac:dyDescent="0.2">
      <c r="C57" s="14" t="s">
        <v>63</v>
      </c>
      <c r="D57" s="17" t="s">
        <v>102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Actualización correcta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103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104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Baja del espacio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105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106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73"/>
  <sheetViews>
    <sheetView workbookViewId="0">
      <selection sqref="A1:D1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16</v>
      </c>
      <c r="D6" s="47"/>
    </row>
    <row r="7" spans="1:4" ht="15" customHeight="1" outlineLevel="1" x14ac:dyDescent="0.25">
      <c r="A7" s="8"/>
      <c r="B7" s="12" t="s">
        <v>31</v>
      </c>
      <c r="C7" s="46" t="s">
        <v>107</v>
      </c>
      <c r="D7" s="47"/>
    </row>
    <row r="8" spans="1:4" ht="15" customHeight="1" outlineLevel="1" x14ac:dyDescent="0.25">
      <c r="A8" s="8"/>
      <c r="B8" s="12" t="s">
        <v>8</v>
      </c>
      <c r="C8" s="50">
        <v>3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108</v>
      </c>
      <c r="D11" s="47"/>
    </row>
    <row r="12" spans="1:4" s="8" customFormat="1" ht="15" customHeight="1" outlineLevel="1" x14ac:dyDescent="0.25">
      <c r="B12" s="9" t="s">
        <v>50</v>
      </c>
      <c r="C12" s="46" t="s">
        <v>109</v>
      </c>
      <c r="D12" s="47"/>
    </row>
    <row r="13" spans="1:4" s="8" customFormat="1" ht="15" customHeight="1" outlineLevel="1" x14ac:dyDescent="0.25">
      <c r="B13" s="9" t="s">
        <v>52</v>
      </c>
      <c r="C13" s="46" t="s">
        <v>110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Registro exitoso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111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112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113</v>
      </c>
    </row>
    <row r="30" spans="1:4" ht="26.45" hidden="1" customHeight="1" outlineLevel="2" x14ac:dyDescent="0.2">
      <c r="C30" s="14" t="s">
        <v>63</v>
      </c>
      <c r="D30" s="17" t="s">
        <v>114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Datos obligatorios incompletos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65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115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116</v>
      </c>
    </row>
    <row r="39" spans="2:4" ht="15" hidden="1" customHeight="1" outlineLevel="2" x14ac:dyDescent="0.2">
      <c r="C39" s="14" t="s">
        <v>63</v>
      </c>
      <c r="D39" s="17" t="s">
        <v>117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Credenciales ya registradas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118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119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120</v>
      </c>
    </row>
    <row r="48" spans="2:4" ht="15" hidden="1" customHeight="1" outlineLevel="2" x14ac:dyDescent="0.2">
      <c r="C48" s="14" t="s">
        <v>63</v>
      </c>
      <c r="D48" s="17" t="s">
        <v>121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Datos inválidos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122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123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124</v>
      </c>
    </row>
    <row r="57" spans="1:4" ht="15" hidden="1" customHeight="1" outlineLevel="2" x14ac:dyDescent="0.2">
      <c r="C57" s="14" t="s">
        <v>63</v>
      </c>
      <c r="D57" s="17" t="s">
        <v>125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Creación de cuenta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126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127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Protección de credenciales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128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129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73"/>
  <sheetViews>
    <sheetView workbookViewId="0">
      <selection sqref="A1:D1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17</v>
      </c>
      <c r="D6" s="47"/>
    </row>
    <row r="7" spans="1:4" ht="15" customHeight="1" outlineLevel="1" x14ac:dyDescent="0.25">
      <c r="A7" s="8"/>
      <c r="B7" s="12" t="s">
        <v>31</v>
      </c>
      <c r="C7" s="46" t="s">
        <v>130</v>
      </c>
      <c r="D7" s="47"/>
    </row>
    <row r="8" spans="1:4" ht="15" customHeight="1" outlineLevel="1" x14ac:dyDescent="0.25">
      <c r="A8" s="8"/>
      <c r="B8" s="12" t="s">
        <v>8</v>
      </c>
      <c r="C8" s="50">
        <v>4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131</v>
      </c>
      <c r="D11" s="47"/>
    </row>
    <row r="12" spans="1:4" s="8" customFormat="1" ht="15" customHeight="1" outlineLevel="1" x14ac:dyDescent="0.25">
      <c r="B12" s="9" t="s">
        <v>50</v>
      </c>
      <c r="C12" s="46" t="s">
        <v>132</v>
      </c>
      <c r="D12" s="47"/>
    </row>
    <row r="13" spans="1:4" s="8" customFormat="1" ht="15" customHeight="1" outlineLevel="1" x14ac:dyDescent="0.25">
      <c r="B13" s="9" t="s">
        <v>52</v>
      </c>
      <c r="C13" s="46" t="s">
        <v>133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Consulta con disponibilidad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134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135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136</v>
      </c>
    </row>
    <row r="30" spans="1:4" ht="26.45" hidden="1" customHeight="1" outlineLevel="2" x14ac:dyDescent="0.2">
      <c r="C30" s="14" t="s">
        <v>63</v>
      </c>
      <c r="D30" s="17" t="s">
        <v>137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Consulta sin disponibilidad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138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139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140</v>
      </c>
    </row>
    <row r="39" spans="2:4" ht="15" hidden="1" customHeight="1" outlineLevel="2" x14ac:dyDescent="0.2">
      <c r="C39" s="14" t="s">
        <v>63</v>
      </c>
      <c r="D39" s="17" t="s">
        <v>141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Fecha no válida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142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143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144</v>
      </c>
    </row>
    <row r="48" spans="2:4" ht="15" hidden="1" customHeight="1" outlineLevel="2" x14ac:dyDescent="0.2">
      <c r="C48" s="14" t="s">
        <v>63</v>
      </c>
      <c r="D48" s="17" t="s">
        <v>145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Consulta de espacio inactivo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146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147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148</v>
      </c>
    </row>
    <row r="57" spans="1:4" ht="15" hidden="1" customHeight="1" outlineLevel="2" x14ac:dyDescent="0.2">
      <c r="C57" s="14" t="s">
        <v>63</v>
      </c>
      <c r="D57" s="17" t="s">
        <v>149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Resultado de disponibilidad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150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151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Tiempo de respuesta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152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153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D73"/>
  <sheetViews>
    <sheetView workbookViewId="0">
      <selection sqref="A1:D1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18</v>
      </c>
      <c r="D6" s="47"/>
    </row>
    <row r="7" spans="1:4" ht="15" customHeight="1" outlineLevel="1" x14ac:dyDescent="0.25">
      <c r="A7" s="8"/>
      <c r="B7" s="12" t="s">
        <v>31</v>
      </c>
      <c r="C7" s="46" t="s">
        <v>154</v>
      </c>
      <c r="D7" s="47"/>
    </row>
    <row r="8" spans="1:4" ht="15" customHeight="1" outlineLevel="1" x14ac:dyDescent="0.25">
      <c r="A8" s="8"/>
      <c r="B8" s="12" t="s">
        <v>8</v>
      </c>
      <c r="C8" s="50">
        <v>5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131</v>
      </c>
      <c r="D11" s="47"/>
    </row>
    <row r="12" spans="1:4" s="8" customFormat="1" ht="15" customHeight="1" outlineLevel="1" x14ac:dyDescent="0.25">
      <c r="B12" s="9" t="s">
        <v>50</v>
      </c>
      <c r="C12" s="46" t="s">
        <v>155</v>
      </c>
      <c r="D12" s="47"/>
    </row>
    <row r="13" spans="1:4" s="8" customFormat="1" ht="15" customHeight="1" outlineLevel="1" x14ac:dyDescent="0.25">
      <c r="B13" s="9" t="s">
        <v>52</v>
      </c>
      <c r="C13" s="46" t="s">
        <v>156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Creación exitosa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157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158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159</v>
      </c>
    </row>
    <row r="30" spans="1:4" ht="26.45" hidden="1" customHeight="1" outlineLevel="2" x14ac:dyDescent="0.2">
      <c r="C30" s="14" t="s">
        <v>63</v>
      </c>
      <c r="D30" s="17" t="s">
        <v>160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Horario ya reservado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161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162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163</v>
      </c>
    </row>
    <row r="39" spans="2:4" ht="15" hidden="1" customHeight="1" outlineLevel="2" x14ac:dyDescent="0.2">
      <c r="C39" s="14" t="s">
        <v>63</v>
      </c>
      <c r="D39" s="17" t="s">
        <v>164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Datos incompletos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165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166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167</v>
      </c>
    </row>
    <row r="48" spans="2:4" ht="15" hidden="1" customHeight="1" outlineLevel="2" x14ac:dyDescent="0.2">
      <c r="C48" s="14" t="s">
        <v>63</v>
      </c>
      <c r="D48" s="17" t="s">
        <v>117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Espacio desactivado durante la operación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168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169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170</v>
      </c>
    </row>
    <row r="57" spans="1:4" ht="15" hidden="1" customHeight="1" outlineLevel="2" x14ac:dyDescent="0.2">
      <c r="C57" s="14" t="s">
        <v>63</v>
      </c>
      <c r="D57" s="17" t="s">
        <v>171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Reserva sin conflictos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172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173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Prevención de doble reserva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174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175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D73"/>
  <sheetViews>
    <sheetView workbookViewId="0">
      <selection sqref="A1:D1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19</v>
      </c>
      <c r="D6" s="47"/>
    </row>
    <row r="7" spans="1:4" ht="15" customHeight="1" outlineLevel="1" x14ac:dyDescent="0.25">
      <c r="A7" s="8"/>
      <c r="B7" s="12" t="s">
        <v>31</v>
      </c>
      <c r="C7" s="46" t="s">
        <v>176</v>
      </c>
      <c r="D7" s="47"/>
    </row>
    <row r="8" spans="1:4" ht="15" customHeight="1" outlineLevel="1" x14ac:dyDescent="0.25">
      <c r="A8" s="8"/>
      <c r="B8" s="12" t="s">
        <v>8</v>
      </c>
      <c r="C8" s="50">
        <v>6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131</v>
      </c>
      <c r="D11" s="47"/>
    </row>
    <row r="12" spans="1:4" s="8" customFormat="1" ht="15" customHeight="1" outlineLevel="1" x14ac:dyDescent="0.25">
      <c r="B12" s="9" t="s">
        <v>50</v>
      </c>
      <c r="C12" s="46" t="s">
        <v>177</v>
      </c>
      <c r="D12" s="47"/>
    </row>
    <row r="13" spans="1:4" s="8" customFormat="1" ht="15" customHeight="1" outlineLevel="1" x14ac:dyDescent="0.25">
      <c r="B13" s="9" t="s">
        <v>52</v>
      </c>
      <c r="C13" s="46" t="s">
        <v>178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Cancelación exitosa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179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180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181</v>
      </c>
    </row>
    <row r="30" spans="1:4" ht="26.45" hidden="1" customHeight="1" outlineLevel="2" x14ac:dyDescent="0.2">
      <c r="C30" s="14" t="s">
        <v>63</v>
      </c>
      <c r="D30" s="17" t="s">
        <v>182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Reserva inexistente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183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184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185</v>
      </c>
    </row>
    <row r="39" spans="2:4" ht="15" hidden="1" customHeight="1" outlineLevel="2" x14ac:dyDescent="0.2">
      <c r="C39" s="14" t="s">
        <v>63</v>
      </c>
      <c r="D39" s="17" t="s">
        <v>186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Reserva de otro usuario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187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188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189</v>
      </c>
    </row>
    <row r="48" spans="2:4" ht="15" hidden="1" customHeight="1" outlineLevel="2" x14ac:dyDescent="0.2">
      <c r="C48" s="14" t="s">
        <v>63</v>
      </c>
      <c r="D48" s="17" t="s">
        <v>190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Cancelación ya realizada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191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192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193</v>
      </c>
    </row>
    <row r="57" spans="1:4" ht="15" hidden="1" customHeight="1" outlineLevel="2" x14ac:dyDescent="0.2">
      <c r="C57" s="14" t="s">
        <v>63</v>
      </c>
      <c r="D57" s="17" t="s">
        <v>194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Cancelación registrada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195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196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Control de acceso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197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198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D73"/>
  <sheetViews>
    <sheetView workbookViewId="0">
      <selection sqref="A1:D1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20</v>
      </c>
      <c r="D6" s="47"/>
    </row>
    <row r="7" spans="1:4" ht="15" customHeight="1" outlineLevel="1" x14ac:dyDescent="0.25">
      <c r="A7" s="8"/>
      <c r="B7" s="12" t="s">
        <v>31</v>
      </c>
      <c r="C7" s="46" t="s">
        <v>199</v>
      </c>
      <c r="D7" s="47"/>
    </row>
    <row r="8" spans="1:4" ht="15" customHeight="1" outlineLevel="1" x14ac:dyDescent="0.25">
      <c r="A8" s="8"/>
      <c r="B8" s="12" t="s">
        <v>8</v>
      </c>
      <c r="C8" s="50">
        <v>7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131</v>
      </c>
      <c r="D11" s="47"/>
    </row>
    <row r="12" spans="1:4" s="8" customFormat="1" ht="15" customHeight="1" outlineLevel="1" x14ac:dyDescent="0.25">
      <c r="B12" s="9" t="s">
        <v>50</v>
      </c>
      <c r="C12" s="46" t="s">
        <v>200</v>
      </c>
      <c r="D12" s="47"/>
    </row>
    <row r="13" spans="1:4" s="8" customFormat="1" ht="15" customHeight="1" outlineLevel="1" x14ac:dyDescent="0.25">
      <c r="B13" s="9" t="s">
        <v>52</v>
      </c>
      <c r="C13" s="46" t="s">
        <v>201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Modificación exitosa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202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180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203</v>
      </c>
    </row>
    <row r="30" spans="1:4" ht="26.45" hidden="1" customHeight="1" outlineLevel="2" x14ac:dyDescent="0.2">
      <c r="C30" s="14" t="s">
        <v>63</v>
      </c>
      <c r="D30" s="17" t="s">
        <v>204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Nuevo horario ocupado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205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206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207</v>
      </c>
    </row>
    <row r="39" spans="2:4" ht="15" hidden="1" customHeight="1" outlineLevel="2" x14ac:dyDescent="0.2">
      <c r="C39" s="14" t="s">
        <v>63</v>
      </c>
      <c r="D39" s="17" t="s">
        <v>208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Reserva de otro usuario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187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209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210</v>
      </c>
    </row>
    <row r="48" spans="2:4" ht="15" hidden="1" customHeight="1" outlineLevel="2" x14ac:dyDescent="0.2">
      <c r="C48" s="14" t="s">
        <v>63</v>
      </c>
      <c r="D48" s="17" t="s">
        <v>211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Datos de modificación inválidos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212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213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214</v>
      </c>
    </row>
    <row r="57" spans="1:4" ht="15" hidden="1" customHeight="1" outlineLevel="2" x14ac:dyDescent="0.2">
      <c r="C57" s="14" t="s">
        <v>63</v>
      </c>
      <c r="D57" s="17" t="s">
        <v>215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Modificación sin conflictos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216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217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Conservación ante rechazo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218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219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D73"/>
  <sheetViews>
    <sheetView workbookViewId="0">
      <selection sqref="A1:D1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21</v>
      </c>
      <c r="D6" s="47"/>
    </row>
    <row r="7" spans="1:4" ht="15" customHeight="1" outlineLevel="1" x14ac:dyDescent="0.25">
      <c r="A7" s="8"/>
      <c r="B7" s="12" t="s">
        <v>31</v>
      </c>
      <c r="C7" s="46" t="s">
        <v>220</v>
      </c>
      <c r="D7" s="47"/>
    </row>
    <row r="8" spans="1:4" ht="15" customHeight="1" outlineLevel="1" x14ac:dyDescent="0.25">
      <c r="A8" s="8"/>
      <c r="B8" s="12" t="s">
        <v>8</v>
      </c>
      <c r="C8" s="50">
        <v>8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49</v>
      </c>
      <c r="D11" s="47"/>
    </row>
    <row r="12" spans="1:4" s="8" customFormat="1" ht="15" customHeight="1" outlineLevel="1" x14ac:dyDescent="0.25">
      <c r="B12" s="9" t="s">
        <v>50</v>
      </c>
      <c r="C12" s="46" t="s">
        <v>221</v>
      </c>
      <c r="D12" s="47"/>
    </row>
    <row r="13" spans="1:4" s="8" customFormat="1" ht="15" customHeight="1" outlineLevel="1" x14ac:dyDescent="0.25">
      <c r="B13" s="9" t="s">
        <v>52</v>
      </c>
      <c r="C13" s="46" t="s">
        <v>222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Consulta de ocupación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223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224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225</v>
      </c>
    </row>
    <row r="30" spans="1:4" ht="26.45" hidden="1" customHeight="1" outlineLevel="2" x14ac:dyDescent="0.2">
      <c r="C30" s="14" t="s">
        <v>63</v>
      </c>
      <c r="D30" s="17" t="s">
        <v>226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Periodo sin reservas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227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228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229</v>
      </c>
    </row>
    <row r="39" spans="2:4" ht="15" hidden="1" customHeight="1" outlineLevel="2" x14ac:dyDescent="0.2">
      <c r="C39" s="14" t="s">
        <v>63</v>
      </c>
      <c r="D39" s="17" t="s">
        <v>230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Filtro por espacio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231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232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233</v>
      </c>
    </row>
    <row r="48" spans="2:4" ht="15" hidden="1" customHeight="1" outlineLevel="2" x14ac:dyDescent="0.2">
      <c r="C48" s="14" t="s">
        <v>63</v>
      </c>
      <c r="D48" s="17" t="s">
        <v>234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Consulta de datos actualizados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235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236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229</v>
      </c>
    </row>
    <row r="57" spans="1:4" ht="15" hidden="1" customHeight="1" outlineLevel="2" x14ac:dyDescent="0.2">
      <c r="C57" s="14" t="s">
        <v>63</v>
      </c>
      <c r="D57" s="17" t="s">
        <v>237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Visualización de ocupación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238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239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Información consistente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240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241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D73"/>
  <sheetViews>
    <sheetView workbookViewId="0">
      <selection sqref="A1:D1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22</v>
      </c>
      <c r="D6" s="47"/>
    </row>
    <row r="7" spans="1:4" ht="15" customHeight="1" outlineLevel="1" x14ac:dyDescent="0.25">
      <c r="A7" s="8"/>
      <c r="B7" s="12" t="s">
        <v>31</v>
      </c>
      <c r="C7" s="46" t="s">
        <v>242</v>
      </c>
      <c r="D7" s="47"/>
    </row>
    <row r="8" spans="1:4" ht="15" customHeight="1" outlineLevel="1" x14ac:dyDescent="0.25">
      <c r="A8" s="8"/>
      <c r="B8" s="12" t="s">
        <v>8</v>
      </c>
      <c r="C8" s="50">
        <v>9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49</v>
      </c>
      <c r="D11" s="47"/>
    </row>
    <row r="12" spans="1:4" s="8" customFormat="1" ht="15" customHeight="1" outlineLevel="1" x14ac:dyDescent="0.25">
      <c r="B12" s="9" t="s">
        <v>50</v>
      </c>
      <c r="C12" s="46" t="s">
        <v>243</v>
      </c>
      <c r="D12" s="47"/>
    </row>
    <row r="13" spans="1:4" s="8" customFormat="1" ht="15" customHeight="1" outlineLevel="1" x14ac:dyDescent="0.25">
      <c r="B13" s="9" t="s">
        <v>52</v>
      </c>
      <c r="C13" s="46" t="s">
        <v>244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Generación de reporte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245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246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247</v>
      </c>
    </row>
    <row r="30" spans="1:4" ht="26.45" hidden="1" customHeight="1" outlineLevel="2" x14ac:dyDescent="0.2">
      <c r="C30" s="14" t="s">
        <v>63</v>
      </c>
      <c r="D30" s="17" t="s">
        <v>248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Periodo sin datos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249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250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251</v>
      </c>
    </row>
    <row r="39" spans="2:4" ht="15" hidden="1" customHeight="1" outlineLevel="2" x14ac:dyDescent="0.2">
      <c r="C39" s="14" t="s">
        <v>63</v>
      </c>
      <c r="D39" s="17" t="s">
        <v>252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Filtro de periodo inválido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253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254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255</v>
      </c>
    </row>
    <row r="48" spans="2:4" ht="15" hidden="1" customHeight="1" outlineLevel="2" x14ac:dyDescent="0.2">
      <c r="C48" s="14" t="s">
        <v>63</v>
      </c>
      <c r="D48" s="17" t="s">
        <v>256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Reporte con indicadores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257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258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251</v>
      </c>
    </row>
    <row r="57" spans="1:4" ht="15" hidden="1" customHeight="1" outlineLevel="2" x14ac:dyDescent="0.2">
      <c r="C57" s="14" t="s">
        <v>63</v>
      </c>
      <c r="D57" s="17" t="s">
        <v>259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Contenido del reporte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260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261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Filtrado por periodo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262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263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D73"/>
  <sheetViews>
    <sheetView tabSelected="1" workbookViewId="0">
      <selection sqref="A1:D1"/>
    </sheetView>
  </sheetViews>
  <sheetFormatPr baseColWidth="10" defaultColWidth="10.85546875" defaultRowHeight="12.75" outlineLevelRow="2" x14ac:dyDescent="0.2"/>
  <cols>
    <col min="1" max="1" width="10.7109375" style="1" customWidth="1"/>
    <col min="2" max="2" width="20.7109375" style="1" customWidth="1"/>
    <col min="3" max="3" width="40.7109375" style="1" customWidth="1"/>
    <col min="4" max="4" width="60.7109375" style="1" customWidth="1"/>
    <col min="5" max="5" width="10.85546875" style="1" customWidth="1"/>
    <col min="6" max="16384" width="10.85546875" style="1"/>
  </cols>
  <sheetData>
    <row r="1" spans="1:4" ht="4.9000000000000004" customHeight="1" x14ac:dyDescent="0.2">
      <c r="A1" s="42"/>
      <c r="B1" s="39"/>
      <c r="C1" s="39"/>
      <c r="D1" s="39"/>
    </row>
    <row r="2" spans="1:4" ht="30" customHeight="1" x14ac:dyDescent="0.2">
      <c r="A2" s="43" t="s">
        <v>45</v>
      </c>
      <c r="B2" s="39"/>
      <c r="C2" s="39"/>
      <c r="D2" s="39"/>
    </row>
    <row r="3" spans="1:4" ht="4.9000000000000004" customHeight="1" x14ac:dyDescent="0.2">
      <c r="A3" s="41"/>
      <c r="B3" s="39"/>
      <c r="C3" s="39"/>
      <c r="D3" s="39"/>
    </row>
    <row r="4" spans="1:4" x14ac:dyDescent="0.2">
      <c r="A4" s="38"/>
      <c r="B4" s="39"/>
      <c r="C4" s="39"/>
    </row>
    <row r="5" spans="1:4" ht="19.899999999999999" customHeight="1" x14ac:dyDescent="0.2">
      <c r="A5" s="45" t="s">
        <v>46</v>
      </c>
      <c r="B5" s="39"/>
      <c r="C5" s="39"/>
      <c r="D5" s="39"/>
    </row>
    <row r="6" spans="1:4" ht="15" customHeight="1" outlineLevel="1" x14ac:dyDescent="0.25">
      <c r="A6" s="8"/>
      <c r="B6" s="12" t="s">
        <v>29</v>
      </c>
      <c r="C6" s="46" t="s">
        <v>23</v>
      </c>
      <c r="D6" s="47"/>
    </row>
    <row r="7" spans="1:4" ht="15" customHeight="1" outlineLevel="1" x14ac:dyDescent="0.25">
      <c r="A7" s="8"/>
      <c r="B7" s="12" t="s">
        <v>31</v>
      </c>
      <c r="C7" s="46" t="s">
        <v>264</v>
      </c>
      <c r="D7" s="47"/>
    </row>
    <row r="8" spans="1:4" ht="15" customHeight="1" outlineLevel="1" x14ac:dyDescent="0.25">
      <c r="A8" s="8"/>
      <c r="B8" s="12" t="s">
        <v>8</v>
      </c>
      <c r="C8" s="50">
        <v>10</v>
      </c>
      <c r="D8" s="47"/>
    </row>
    <row r="9" spans="1:4" ht="15" customHeight="1" outlineLevel="1" x14ac:dyDescent="0.25">
      <c r="A9" s="8"/>
      <c r="B9" s="12" t="s">
        <v>44</v>
      </c>
      <c r="C9" s="50">
        <v>4</v>
      </c>
      <c r="D9" s="47"/>
    </row>
    <row r="10" spans="1:4" ht="15" customHeight="1" outlineLevel="1" x14ac:dyDescent="0.2">
      <c r="A10" s="8"/>
      <c r="B10" s="51"/>
      <c r="C10" s="39"/>
    </row>
    <row r="11" spans="1:4" s="8" customFormat="1" ht="15" customHeight="1" outlineLevel="1" x14ac:dyDescent="0.25">
      <c r="B11" s="9" t="s">
        <v>48</v>
      </c>
      <c r="C11" s="46" t="s">
        <v>131</v>
      </c>
      <c r="D11" s="47"/>
    </row>
    <row r="12" spans="1:4" s="8" customFormat="1" ht="15" customHeight="1" outlineLevel="1" x14ac:dyDescent="0.25">
      <c r="B12" s="9" t="s">
        <v>50</v>
      </c>
      <c r="C12" s="46" t="s">
        <v>265</v>
      </c>
      <c r="D12" s="47"/>
    </row>
    <row r="13" spans="1:4" s="8" customFormat="1" ht="15" customHeight="1" outlineLevel="1" x14ac:dyDescent="0.25">
      <c r="B13" s="9" t="s">
        <v>52</v>
      </c>
      <c r="C13" s="46" t="s">
        <v>266</v>
      </c>
      <c r="D13" s="47"/>
    </row>
    <row r="14" spans="1:4" ht="15" customHeight="1" outlineLevel="1" x14ac:dyDescent="0.2"/>
    <row r="15" spans="1:4" ht="19.899999999999999" customHeight="1" collapsed="1" x14ac:dyDescent="0.2">
      <c r="A15" s="45" t="s">
        <v>54</v>
      </c>
      <c r="B15" s="39"/>
      <c r="C15" s="39"/>
      <c r="D15" s="39"/>
    </row>
    <row r="16" spans="1:4" ht="19.899999999999999" hidden="1" customHeight="1" outlineLevel="1" x14ac:dyDescent="0.25">
      <c r="B16" s="3" t="s">
        <v>2</v>
      </c>
      <c r="C16" s="49" t="s">
        <v>31</v>
      </c>
      <c r="D16" s="47"/>
    </row>
    <row r="17" spans="1:4" ht="15" hidden="1" customHeight="1" outlineLevel="1" x14ac:dyDescent="0.25">
      <c r="B17" s="13"/>
      <c r="C17" s="46"/>
      <c r="D17" s="47"/>
    </row>
    <row r="18" spans="1:4" ht="15" hidden="1" customHeight="1" outlineLevel="1" x14ac:dyDescent="0.25">
      <c r="B18" s="13"/>
      <c r="C18" s="46"/>
      <c r="D18" s="47"/>
    </row>
    <row r="19" spans="1:4" ht="15" hidden="1" customHeight="1" outlineLevel="1" x14ac:dyDescent="0.25">
      <c r="B19" s="13"/>
      <c r="C19" s="46"/>
      <c r="D19" s="47"/>
    </row>
    <row r="20" spans="1:4" ht="15" hidden="1" customHeight="1" outlineLevel="1" x14ac:dyDescent="0.25">
      <c r="B20" s="13"/>
      <c r="C20" s="46"/>
      <c r="D20" s="47"/>
    </row>
    <row r="21" spans="1:4" ht="15" hidden="1" customHeight="1" outlineLevel="1" x14ac:dyDescent="0.2"/>
    <row r="22" spans="1:4" ht="19.899999999999999" customHeight="1" collapsed="1" x14ac:dyDescent="0.2">
      <c r="A22" s="45" t="s">
        <v>55</v>
      </c>
      <c r="B22" s="39"/>
      <c r="C22" s="39"/>
      <c r="D22" s="39"/>
    </row>
    <row r="23" spans="1:4" ht="19.899999999999999" hidden="1" customHeight="1" outlineLevel="1" collapsed="1" x14ac:dyDescent="0.2">
      <c r="B23" s="48" t="str">
        <f>CONCATENATE("Escenario Nro. ",TEXT(D24,"00"),": ",TRIM(D25))</f>
        <v>Escenario Nro. 01: Confirmación de reserva</v>
      </c>
      <c r="C23" s="39"/>
      <c r="D23" s="39"/>
    </row>
    <row r="24" spans="1:4" ht="15" hidden="1" customHeight="1" outlineLevel="2" x14ac:dyDescent="0.2">
      <c r="C24" s="12" t="s">
        <v>56</v>
      </c>
      <c r="D24" s="15">
        <v>1</v>
      </c>
    </row>
    <row r="25" spans="1:4" ht="15" hidden="1" customHeight="1" outlineLevel="2" x14ac:dyDescent="0.2">
      <c r="C25" s="12" t="s">
        <v>31</v>
      </c>
      <c r="D25" s="6" t="s">
        <v>267</v>
      </c>
    </row>
    <row r="26" spans="1:4" ht="15" hidden="1" customHeight="1" outlineLevel="2" x14ac:dyDescent="0.2"/>
    <row r="27" spans="1:4" ht="15" hidden="1" customHeight="1" outlineLevel="2" x14ac:dyDescent="0.2">
      <c r="C27" s="14" t="s">
        <v>58</v>
      </c>
      <c r="D27" s="17" t="s">
        <v>268</v>
      </c>
    </row>
    <row r="28" spans="1:4" ht="15" hidden="1" customHeight="1" outlineLevel="2" x14ac:dyDescent="0.2">
      <c r="C28" s="14" t="s">
        <v>60</v>
      </c>
      <c r="D28" s="17"/>
    </row>
    <row r="29" spans="1:4" ht="15" hidden="1" customHeight="1" outlineLevel="2" x14ac:dyDescent="0.2">
      <c r="C29" s="14" t="s">
        <v>61</v>
      </c>
      <c r="D29" s="17" t="s">
        <v>269</v>
      </c>
    </row>
    <row r="30" spans="1:4" ht="26.45" hidden="1" customHeight="1" outlineLevel="2" x14ac:dyDescent="0.2">
      <c r="C30" s="14" t="s">
        <v>63</v>
      </c>
      <c r="D30" s="17" t="s">
        <v>270</v>
      </c>
    </row>
    <row r="31" spans="1:4" ht="15" hidden="1" customHeight="1" outlineLevel="2" x14ac:dyDescent="0.2"/>
    <row r="32" spans="1:4" ht="19.899999999999999" hidden="1" customHeight="1" outlineLevel="1" collapsed="1" x14ac:dyDescent="0.2">
      <c r="B32" s="48" t="str">
        <f>CONCATENATE("Escenario Nro. ",TEXT(D33,"00"),": ",TRIM(D34))</f>
        <v>Escenario Nro. 02: Recordatorio</v>
      </c>
      <c r="C32" s="39"/>
      <c r="D32" s="39"/>
    </row>
    <row r="33" spans="2:4" ht="15" hidden="1" customHeight="1" outlineLevel="2" x14ac:dyDescent="0.2">
      <c r="C33" s="12" t="s">
        <v>56</v>
      </c>
      <c r="D33" s="16">
        <f>D24+1</f>
        <v>2</v>
      </c>
    </row>
    <row r="34" spans="2:4" ht="15" hidden="1" customHeight="1" outlineLevel="2" x14ac:dyDescent="0.2">
      <c r="C34" s="12" t="s">
        <v>31</v>
      </c>
      <c r="D34" s="17" t="s">
        <v>271</v>
      </c>
    </row>
    <row r="35" spans="2:4" ht="15" hidden="1" customHeight="1" outlineLevel="2" x14ac:dyDescent="0.2"/>
    <row r="36" spans="2:4" ht="15" hidden="1" customHeight="1" outlineLevel="2" x14ac:dyDescent="0.2">
      <c r="C36" s="14" t="s">
        <v>58</v>
      </c>
      <c r="D36" s="17" t="s">
        <v>272</v>
      </c>
    </row>
    <row r="37" spans="2:4" ht="15" hidden="1" customHeight="1" outlineLevel="2" x14ac:dyDescent="0.2">
      <c r="C37" s="14" t="s">
        <v>60</v>
      </c>
      <c r="D37" s="17"/>
    </row>
    <row r="38" spans="2:4" ht="15" hidden="1" customHeight="1" outlineLevel="2" x14ac:dyDescent="0.2">
      <c r="C38" s="14" t="s">
        <v>61</v>
      </c>
      <c r="D38" s="17" t="s">
        <v>273</v>
      </c>
    </row>
    <row r="39" spans="2:4" ht="15" hidden="1" customHeight="1" outlineLevel="2" x14ac:dyDescent="0.2">
      <c r="C39" s="14" t="s">
        <v>63</v>
      </c>
      <c r="D39" s="17" t="s">
        <v>274</v>
      </c>
    </row>
    <row r="40" spans="2:4" ht="15" hidden="1" customHeight="1" outlineLevel="2" x14ac:dyDescent="0.2"/>
    <row r="41" spans="2:4" ht="19.899999999999999" hidden="1" customHeight="1" outlineLevel="1" collapsed="1" x14ac:dyDescent="0.2">
      <c r="B41" s="48" t="str">
        <f>CONCATENATE("Escenario Nro. ",TEXT(D42,"00"),": ",TRIM(D43))</f>
        <v>Escenario Nro. 03: Reserva rechazada</v>
      </c>
      <c r="C41" s="39"/>
      <c r="D41" s="39"/>
    </row>
    <row r="42" spans="2:4" ht="15" hidden="1" customHeight="1" outlineLevel="2" x14ac:dyDescent="0.2">
      <c r="C42" s="12" t="s">
        <v>56</v>
      </c>
      <c r="D42" s="16">
        <f>D33+1</f>
        <v>3</v>
      </c>
    </row>
    <row r="43" spans="2:4" ht="15" hidden="1" customHeight="1" outlineLevel="2" x14ac:dyDescent="0.2">
      <c r="C43" s="12" t="s">
        <v>31</v>
      </c>
      <c r="D43" s="17" t="s">
        <v>275</v>
      </c>
    </row>
    <row r="44" spans="2:4" ht="15" hidden="1" customHeight="1" outlineLevel="2" x14ac:dyDescent="0.2"/>
    <row r="45" spans="2:4" ht="15" hidden="1" customHeight="1" outlineLevel="2" x14ac:dyDescent="0.2">
      <c r="C45" s="14" t="s">
        <v>58</v>
      </c>
      <c r="D45" s="17" t="s">
        <v>276</v>
      </c>
    </row>
    <row r="46" spans="2:4" ht="15" hidden="1" customHeight="1" outlineLevel="2" x14ac:dyDescent="0.2">
      <c r="C46" s="14" t="s">
        <v>60</v>
      </c>
      <c r="D46" s="17"/>
    </row>
    <row r="47" spans="2:4" ht="15" hidden="1" customHeight="1" outlineLevel="2" x14ac:dyDescent="0.2">
      <c r="C47" s="14" t="s">
        <v>61</v>
      </c>
      <c r="D47" s="17" t="s">
        <v>163</v>
      </c>
    </row>
    <row r="48" spans="2:4" ht="15" hidden="1" customHeight="1" outlineLevel="2" x14ac:dyDescent="0.2">
      <c r="C48" s="14" t="s">
        <v>63</v>
      </c>
      <c r="D48" s="17" t="s">
        <v>277</v>
      </c>
    </row>
    <row r="49" spans="1:4" ht="15" hidden="1" customHeight="1" outlineLevel="2" x14ac:dyDescent="0.2"/>
    <row r="50" spans="1:4" ht="19.899999999999999" hidden="1" customHeight="1" outlineLevel="1" collapsed="1" x14ac:dyDescent="0.2">
      <c r="B50" s="48" t="str">
        <f>CONCATENATE("Escenario Nro. ",TEXT(D51,"00"),": ",TRIM(D52))</f>
        <v>Escenario Nro. 04: Notificación asociada a la reserva</v>
      </c>
      <c r="C50" s="39"/>
      <c r="D50" s="39"/>
    </row>
    <row r="51" spans="1:4" ht="15" hidden="1" customHeight="1" outlineLevel="2" x14ac:dyDescent="0.2">
      <c r="C51" s="12" t="s">
        <v>56</v>
      </c>
      <c r="D51" s="16">
        <f>D42+1</f>
        <v>4</v>
      </c>
    </row>
    <row r="52" spans="1:4" ht="15" hidden="1" customHeight="1" outlineLevel="2" x14ac:dyDescent="0.2">
      <c r="C52" s="12" t="s">
        <v>31</v>
      </c>
      <c r="D52" s="17" t="s">
        <v>278</v>
      </c>
    </row>
    <row r="53" spans="1:4" ht="15" hidden="1" customHeight="1" outlineLevel="2" x14ac:dyDescent="0.2"/>
    <row r="54" spans="1:4" ht="15" hidden="1" customHeight="1" outlineLevel="2" x14ac:dyDescent="0.2">
      <c r="C54" s="14" t="s">
        <v>58</v>
      </c>
      <c r="D54" s="17" t="s">
        <v>279</v>
      </c>
    </row>
    <row r="55" spans="1:4" ht="15" hidden="1" customHeight="1" outlineLevel="2" x14ac:dyDescent="0.2">
      <c r="C55" s="14" t="s">
        <v>60</v>
      </c>
      <c r="D55" s="17"/>
    </row>
    <row r="56" spans="1:4" ht="15" hidden="1" customHeight="1" outlineLevel="2" x14ac:dyDescent="0.2">
      <c r="C56" s="14" t="s">
        <v>61</v>
      </c>
      <c r="D56" s="17" t="s">
        <v>280</v>
      </c>
    </row>
    <row r="57" spans="1:4" ht="15" hidden="1" customHeight="1" outlineLevel="2" x14ac:dyDescent="0.2">
      <c r="C57" s="14" t="s">
        <v>63</v>
      </c>
      <c r="D57" s="17" t="s">
        <v>281</v>
      </c>
    </row>
    <row r="58" spans="1:4" ht="15" hidden="1" customHeight="1" outlineLevel="2" x14ac:dyDescent="0.2"/>
    <row r="59" spans="1:4" ht="15" hidden="1" customHeight="1" outlineLevel="1" x14ac:dyDescent="0.2"/>
    <row r="60" spans="1:4" ht="19.899999999999999" customHeight="1" collapsed="1" x14ac:dyDescent="0.2">
      <c r="A60" s="45" t="s">
        <v>74</v>
      </c>
      <c r="B60" s="39"/>
      <c r="C60" s="39"/>
      <c r="D60" s="39"/>
    </row>
    <row r="61" spans="1:4" ht="19.899999999999999" hidden="1" customHeight="1" outlineLevel="1" collapsed="1" x14ac:dyDescent="0.2">
      <c r="B61" s="48" t="str">
        <f>CONCATENATE("Criterio de Aceptación Nro. ",TEXT(D62,"00"),": ",TRIM(D63))</f>
        <v>Criterio de Aceptación Nro. 01: Confirmación</v>
      </c>
      <c r="C61" s="39"/>
      <c r="D61" s="39"/>
    </row>
    <row r="62" spans="1:4" ht="15" hidden="1" customHeight="1" outlineLevel="2" x14ac:dyDescent="0.2">
      <c r="C62" s="12" t="s">
        <v>56</v>
      </c>
      <c r="D62" s="15">
        <v>1</v>
      </c>
    </row>
    <row r="63" spans="1:4" ht="15" hidden="1" customHeight="1" outlineLevel="2" x14ac:dyDescent="0.2">
      <c r="C63" s="12" t="s">
        <v>31</v>
      </c>
      <c r="D63" s="6" t="s">
        <v>282</v>
      </c>
    </row>
    <row r="64" spans="1:4" ht="15" hidden="1" customHeight="1" outlineLevel="2" x14ac:dyDescent="0.2"/>
    <row r="65" spans="2:4" ht="15" hidden="1" customHeight="1" outlineLevel="2" x14ac:dyDescent="0.2">
      <c r="C65" s="12" t="s">
        <v>76</v>
      </c>
      <c r="D65" s="17" t="s">
        <v>283</v>
      </c>
    </row>
    <row r="66" spans="2:4" hidden="1" outlineLevel="2" x14ac:dyDescent="0.2"/>
    <row r="67" spans="2:4" ht="19.899999999999999" hidden="1" customHeight="1" outlineLevel="1" collapsed="1" x14ac:dyDescent="0.2">
      <c r="B67" s="48" t="str">
        <f>CONCATENATE("Criterio de Aceptación Nro. ",TEXT(D68,"00"),": ",TRIM(D69))</f>
        <v>Criterio de Aceptación Nro. 02: Recordatorio</v>
      </c>
      <c r="C67" s="39"/>
      <c r="D67" s="39"/>
    </row>
    <row r="68" spans="2:4" ht="15" hidden="1" customHeight="1" outlineLevel="2" x14ac:dyDescent="0.2">
      <c r="C68" s="12" t="s">
        <v>56</v>
      </c>
      <c r="D68" s="15">
        <v>2</v>
      </c>
    </row>
    <row r="69" spans="2:4" ht="15" hidden="1" customHeight="1" outlineLevel="2" x14ac:dyDescent="0.2">
      <c r="C69" s="12" t="s">
        <v>31</v>
      </c>
      <c r="D69" s="6" t="s">
        <v>271</v>
      </c>
    </row>
    <row r="70" spans="2:4" ht="15" hidden="1" customHeight="1" outlineLevel="2" x14ac:dyDescent="0.2"/>
    <row r="71" spans="2:4" ht="15" hidden="1" customHeight="1" outlineLevel="2" x14ac:dyDescent="0.2">
      <c r="C71" s="12" t="s">
        <v>76</v>
      </c>
      <c r="D71" s="17" t="s">
        <v>284</v>
      </c>
    </row>
    <row r="72" spans="2:4" hidden="1" outlineLevel="2" x14ac:dyDescent="0.2"/>
    <row r="73" spans="2:4" hidden="1" outlineLevel="1" x14ac:dyDescent="0.2"/>
  </sheetData>
  <mergeCells count="27">
    <mergeCell ref="A4:C4"/>
    <mergeCell ref="A60:D60"/>
    <mergeCell ref="A1:D1"/>
    <mergeCell ref="C12:D12"/>
    <mergeCell ref="B41:D41"/>
    <mergeCell ref="C11:D11"/>
    <mergeCell ref="B32:D32"/>
    <mergeCell ref="B50:D50"/>
    <mergeCell ref="B10:C10"/>
    <mergeCell ref="C17:D17"/>
    <mergeCell ref="C8:D8"/>
    <mergeCell ref="C7:D7"/>
    <mergeCell ref="A3:D3"/>
    <mergeCell ref="C19:D19"/>
    <mergeCell ref="C13:D13"/>
    <mergeCell ref="A2:D2"/>
    <mergeCell ref="A5:D5"/>
    <mergeCell ref="C6:D6"/>
    <mergeCell ref="B67:D67"/>
    <mergeCell ref="A22:D22"/>
    <mergeCell ref="B61:D61"/>
    <mergeCell ref="B23:D23"/>
    <mergeCell ref="C20:D20"/>
    <mergeCell ref="C16:D16"/>
    <mergeCell ref="A15:D15"/>
    <mergeCell ref="C9:D9"/>
    <mergeCell ref="C18:D1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Sprints</vt:lpstr>
      <vt:lpstr>Roles</vt:lpstr>
      <vt:lpstr>Product_Backlog</vt:lpstr>
      <vt:lpstr>Release_Plan</vt:lpstr>
      <vt:lpstr>HU01</vt:lpstr>
      <vt:lpstr>Parametros</vt:lpstr>
      <vt:lpstr>HU02</vt:lpstr>
      <vt:lpstr>HU03</vt:lpstr>
      <vt:lpstr>HU04</vt:lpstr>
      <vt:lpstr>HU05</vt:lpstr>
      <vt:lpstr>HU06</vt:lpstr>
      <vt:lpstr>HU07</vt:lpstr>
      <vt:lpstr>HU08</vt:lpstr>
      <vt:lpstr>HU09</vt:lpstr>
      <vt:lpstr>HU10</vt:lpstr>
      <vt:lpstr>Product_Backlog!Área_de_impresión</vt:lpstr>
      <vt:lpstr>Release_Plan!Área_de_impresión</vt:lpstr>
      <vt:lpstr>Estados_HU</vt:lpstr>
      <vt:lpstr>Feriados</vt:lpstr>
      <vt:lpstr>Tabla_Sprint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ALUMNO - CRISTHIAN YANMARIO CHANAME RIOS</cp:lastModifiedBy>
  <cp:lastPrinted>2012-09-30T19:04:37Z</cp:lastPrinted>
  <dcterms:created xsi:type="dcterms:W3CDTF">2012-09-02T03:53:17Z</dcterms:created>
  <dcterms:modified xsi:type="dcterms:W3CDTF">2026-09-09T08:48:40Z</dcterms:modified>
</cp:coreProperties>
</file>